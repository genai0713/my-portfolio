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Summary" sheetId="2" state="visible" r:id="rId2"/>
    <sheet name="Dashboard" sheetId="3" state="visible" r:id="rId3"/>
    <sheet name="Instructions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 hh:mm"/>
    <numFmt numFmtId="166" formatCode="&quot;$&quot;#,##0;[Red](&quot;$&quot;#,##0)"/>
  </numFmts>
  <fonts count="11">
    <font>
      <name val="Calibri"/>
      <family val="2"/>
      <color theme="1"/>
      <sz val="11"/>
      <scheme val="minor"/>
    </font>
    <font>
      <b val="1"/>
      <color rgb="00000000"/>
    </font>
    <font>
      <b val="1"/>
      <color rgb="000000FF"/>
    </font>
    <font>
      <color rgb="00000000"/>
    </font>
    <font>
      <b val="1"/>
      <color rgb="00FFFFFF"/>
      <sz val="16"/>
    </font>
    <font>
      <b val="1"/>
    </font>
    <font/>
    <font>
      <i val="1"/>
      <color rgb="005A5A5A"/>
    </font>
    <font>
      <b val="1"/>
      <color rgb="00FFFFFF"/>
      <sz val="11"/>
    </font>
    <font>
      <b val="1"/>
      <color rgb="00000000"/>
      <sz val="18"/>
    </font>
    <font>
      <color rgb="004A4A4A"/>
      <sz val="10"/>
    </font>
  </fonts>
  <fills count="7">
    <fill>
      <patternFill/>
    </fill>
    <fill>
      <patternFill patternType="gray125"/>
    </fill>
    <fill>
      <patternFill patternType="solid">
        <fgColor rgb="00D9E7EB"/>
      </patternFill>
    </fill>
    <fill>
      <patternFill patternType="solid">
        <fgColor rgb="000B5D6B"/>
      </patternFill>
    </fill>
    <fill>
      <patternFill patternType="solid">
        <fgColor rgb="00EAF3F5"/>
      </patternFill>
    </fill>
    <fill>
      <patternFill patternType="solid">
        <fgColor rgb="00FFFFFF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>
        <color rgb="00B4CCD2"/>
      </bottom>
    </border>
    <border>
      <left style="thin">
        <color rgb="009BB9C2"/>
      </left>
      <right style="thin">
        <color rgb="009BB9C2"/>
      </right>
      <top style="thin">
        <color rgb="009BB9C2"/>
      </top>
      <bottom style="thin">
        <color rgb="009BB9C2"/>
      </bottom>
    </border>
    <border>
      <left style="thin">
        <color rgb="00D0D9DD"/>
      </left>
      <right style="thin">
        <color rgb="00D0D9DD"/>
      </right>
      <top style="thin">
        <color rgb="00D0D9DD"/>
      </top>
      <bottom style="thin">
        <color rgb="00D0D9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7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4" borderId="1" pivotButton="0" quotePrefix="0" xfId="0"/>
    <xf numFmtId="0" fontId="5" fillId="5" borderId="1" pivotButton="0" quotePrefix="0" xfId="0"/>
    <xf numFmtId="0" fontId="5" fillId="2" borderId="0" pivotButton="0" quotePrefix="0" xfId="0"/>
    <xf numFmtId="0" fontId="6" fillId="4" borderId="1" pivotButton="0" quotePrefix="0" xfId="0"/>
    <xf numFmtId="166" fontId="0" fillId="5" borderId="1" pivotButton="0" quotePrefix="0" xfId="0"/>
    <xf numFmtId="166" fontId="0" fillId="0" borderId="0" pivotButton="0" quotePrefix="0" xfId="0"/>
    <xf numFmtId="0" fontId="0" fillId="5" borderId="1" pivotButton="0" quotePrefix="0" xfId="0"/>
    <xf numFmtId="17" fontId="0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horizontal="center" vertical="center"/>
    </xf>
    <xf numFmtId="0" fontId="0" fillId="3" borderId="2" pivotButton="0" quotePrefix="0" xfId="0"/>
    <xf numFmtId="166" fontId="9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 vertical="center"/>
    </xf>
    <xf numFmtId="0" fontId="10" fillId="6" borderId="3" applyAlignment="1" pivotButton="0" quotePrefix="0" xfId="0">
      <alignment vertical="top" wrapText="1"/>
    </xf>
    <xf numFmtId="0" fontId="0" fillId="6" borderId="3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Revenue Trend (Last 6 Months)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'Summary'!$A$13:$A$18</f>
            </numRef>
          </cat>
          <val>
            <numRef>
              <f>'Summary'!$B$13:$B$18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'Summary'!G3</f>
            </strRef>
          </tx>
          <spPr>
            <a:ln>
              <a:prstDash val="solid"/>
            </a:ln>
          </spPr>
          <cat>
            <numRef>
              <f>'Summary'!$F$4:$F$9</f>
            </numRef>
          </cat>
          <val>
            <numRef>
              <f>'Summary'!$G$4:$G$9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Parse Status Mix</a:t>
            </a:r>
          </a:p>
        </rich>
      </tx>
    </title>
    <plotArea>
      <pieChart>
        <varyColors val="1"/>
        <ser>
          <idx val="0"/>
          <order val="0"/>
          <tx>
            <strRef>
              <f>'Summary'!K3</f>
            </strRef>
          </tx>
          <spPr>
            <a:ln>
              <a:prstDash val="solid"/>
            </a:ln>
          </spPr>
          <cat>
            <numRef>
              <f>'Summary'!$J$4:$J$5</f>
            </numRef>
          </cat>
          <val>
            <numRef>
              <f>'Summary'!$K$4:$K$5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Example dashboard data generated from the local project schema. Replace with live Google Sheets exports when available.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4031999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12</row>
      <rowOff>0</rowOff>
    </from>
    <ext cx="345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28</row>
      <rowOff>0</rowOff>
    </from>
    <ext cx="2448000" cy="223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M85" headerRowCount="1">
  <autoFilter ref="A1:M85"/>
  <tableColumns count="13">
    <tableColumn id="1" name="captured_at"/>
    <tableColumn id="2" name="group_name"/>
    <tableColumn id="3" name="sender"/>
    <tableColumn id="4" name="message_id"/>
    <tableColumn id="5" name="raw_text"/>
    <tableColumn id="6" name="customer"/>
    <tableColumn id="7" name="product"/>
    <tableColumn id="8" name="amount"/>
    <tableColumn id="9" name="phone"/>
    <tableColumn id="10" name="parse_status"/>
    <tableColumn id="11" name="order_month"/>
    <tableColumn id="12" name="customer_key"/>
    <tableColumn id="13" name="first_customer_fla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6" customWidth="1" min="4" max="4"/>
    <col width="52" customWidth="1" min="5" max="5"/>
    <col width="18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18" customWidth="1" min="12" max="12"/>
    <col width="16" customWidth="1" min="13" max="13"/>
  </cols>
  <sheetData>
    <row r="1">
      <c r="A1" s="1" t="inlineStr">
        <is>
          <t>captured_at</t>
        </is>
      </c>
      <c r="B1" s="1" t="inlineStr">
        <is>
          <t>group_name</t>
        </is>
      </c>
      <c r="C1" s="1" t="inlineStr">
        <is>
          <t>sender</t>
        </is>
      </c>
      <c r="D1" s="1" t="inlineStr">
        <is>
          <t>message_id</t>
        </is>
      </c>
      <c r="E1" s="1" t="inlineStr">
        <is>
          <t>raw_text</t>
        </is>
      </c>
      <c r="F1" s="1" t="inlineStr">
        <is>
          <t>customer</t>
        </is>
      </c>
      <c r="G1" s="1" t="inlineStr">
        <is>
          <t>product</t>
        </is>
      </c>
      <c r="H1" s="1" t="inlineStr">
        <is>
          <t>amount</t>
        </is>
      </c>
      <c r="I1" s="1" t="inlineStr">
        <is>
          <t>phone</t>
        </is>
      </c>
      <c r="J1" s="1" t="inlineStr">
        <is>
          <t>parse_status</t>
        </is>
      </c>
      <c r="K1" s="1" t="inlineStr">
        <is>
          <t>order_month</t>
        </is>
      </c>
      <c r="L1" s="1" t="inlineStr">
        <is>
          <t>customer_key</t>
        </is>
      </c>
      <c r="M1" s="1" t="inlineStr">
        <is>
          <t>first_customer_flag</t>
        </is>
      </c>
    </row>
    <row r="2">
      <c r="A2" s="2" t="n">
        <v>45933.41666666666</v>
      </c>
      <c r="B2" s="3" t="inlineStr">
        <is>
          <t>Dubai Retail Sales</t>
        </is>
      </c>
      <c r="C2" s="3" t="inlineStr">
        <is>
          <t>Rahul</t>
        </is>
      </c>
      <c r="D2" s="3" t="inlineStr">
        <is>
          <t>wamid-0001</t>
        </is>
      </c>
      <c r="E2" s="3" t="inlineStr">
        <is>
          <t>Sale: customer=Sara James, product=MacBook Air, amount=84999, phone=9339670711</t>
        </is>
      </c>
      <c r="F2" s="3" t="inlineStr">
        <is>
          <t>Sara James</t>
        </is>
      </c>
      <c r="G2" s="3" t="inlineStr">
        <is>
          <t>MacBook Air</t>
        </is>
      </c>
      <c r="H2" s="4" t="n">
        <v>84999</v>
      </c>
      <c r="I2" s="3" t="inlineStr">
        <is>
          <t>9339670711</t>
        </is>
      </c>
      <c r="J2" s="3" t="inlineStr">
        <is>
          <t>parsed</t>
        </is>
      </c>
      <c r="K2" s="5">
        <f>IF(A2="","",DATE(YEAR(A2),MONTH(A2),1))</f>
        <v/>
      </c>
      <c r="L2" s="6">
        <f>IF(F2&lt;&gt;"",LOWER(TRIM(F2)),D2)</f>
        <v/>
      </c>
      <c r="M2" s="6">
        <f>IF(L2="","",IF(COUNTIF($L$2:L2,L2)=1,1,0))</f>
        <v/>
      </c>
    </row>
    <row r="3">
      <c r="A3" s="2" t="n">
        <v>45935.41666666666</v>
      </c>
      <c r="B3" s="3" t="inlineStr">
        <is>
          <t>Dubai Retail Sales</t>
        </is>
      </c>
      <c r="C3" s="3" t="inlineStr">
        <is>
          <t>Priya</t>
        </is>
      </c>
      <c r="D3" s="3" t="inlineStr">
        <is>
          <t>wamid-0002</t>
        </is>
      </c>
      <c r="E3" s="3" t="inlineStr">
        <is>
          <t>Sale: customer=Yusuf Ahmed, product=MacBook Air, amount=82499, phone=9193349856</t>
        </is>
      </c>
      <c r="F3" s="3" t="inlineStr">
        <is>
          <t>Yusuf Ahmed</t>
        </is>
      </c>
      <c r="G3" s="3" t="inlineStr">
        <is>
          <t>MacBook Air</t>
        </is>
      </c>
      <c r="H3" s="4" t="n">
        <v>82499</v>
      </c>
      <c r="I3" s="3" t="inlineStr">
        <is>
          <t>9193349856</t>
        </is>
      </c>
      <c r="J3" s="3" t="inlineStr">
        <is>
          <t>parsed</t>
        </is>
      </c>
      <c r="K3" s="5">
        <f>IF(A3="","",DATE(YEAR(A3),MONTH(A3),1))</f>
        <v/>
      </c>
      <c r="L3" s="6">
        <f>IF(F3&lt;&gt;"",LOWER(TRIM(F3)),D3)</f>
        <v/>
      </c>
      <c r="M3" s="6">
        <f>IF(L3="","",IF(COUNTIF($L$2:L3,L3)=1,1,0))</f>
        <v/>
      </c>
    </row>
    <row r="4">
      <c r="A4" s="2" t="n">
        <v>45937.41666666666</v>
      </c>
      <c r="B4" s="3" t="inlineStr">
        <is>
          <t>Dubai Retail Sales</t>
        </is>
      </c>
      <c r="C4" s="3" t="inlineStr">
        <is>
          <t>Priya</t>
        </is>
      </c>
      <c r="D4" s="3" t="inlineStr">
        <is>
          <t>wamid-0003</t>
        </is>
      </c>
      <c r="E4" s="3" t="inlineStr">
        <is>
          <t>Sale: customer=Sara James, product=Apple Watch, amount=22999, phone=9642621108</t>
        </is>
      </c>
      <c r="F4" s="3" t="inlineStr">
        <is>
          <t>Sara James</t>
        </is>
      </c>
      <c r="G4" s="3" t="inlineStr">
        <is>
          <t>Apple Watch</t>
        </is>
      </c>
      <c r="H4" s="4" t="n">
        <v>22999</v>
      </c>
      <c r="I4" s="3" t="inlineStr">
        <is>
          <t>9642621108</t>
        </is>
      </c>
      <c r="J4" s="3" t="inlineStr">
        <is>
          <t>parsed</t>
        </is>
      </c>
      <c r="K4" s="5">
        <f>IF(A4="","",DATE(YEAR(A4),MONTH(A4),1))</f>
        <v/>
      </c>
      <c r="L4" s="6">
        <f>IF(F4&lt;&gt;"",LOWER(TRIM(F4)),D4)</f>
        <v/>
      </c>
      <c r="M4" s="6">
        <f>IF(L4="","",IF(COUNTIF($L$2:L4,L4)=1,1,0))</f>
        <v/>
      </c>
    </row>
    <row r="5">
      <c r="A5" s="2" t="n">
        <v>45939.41666666666</v>
      </c>
      <c r="B5" s="3" t="inlineStr">
        <is>
          <t>Dubai Retail Sales</t>
        </is>
      </c>
      <c r="C5" s="3" t="inlineStr">
        <is>
          <t>Rahul</t>
        </is>
      </c>
      <c r="D5" s="3" t="inlineStr">
        <is>
          <t>wamid-0004</t>
        </is>
      </c>
      <c r="E5" s="3" t="inlineStr">
        <is>
          <t>Sale: customer=Yusuf Ahmed, product=iPhone 15, amount=47499, phone=9550455977</t>
        </is>
      </c>
      <c r="F5" s="3" t="inlineStr">
        <is>
          <t>Yusuf Ahmed</t>
        </is>
      </c>
      <c r="G5" s="3" t="inlineStr">
        <is>
          <t>iPhone 15</t>
        </is>
      </c>
      <c r="H5" s="4" t="n">
        <v>47499</v>
      </c>
      <c r="I5" s="3" t="inlineStr">
        <is>
          <t>9550455977</t>
        </is>
      </c>
      <c r="J5" s="3" t="inlineStr">
        <is>
          <t>parsed</t>
        </is>
      </c>
      <c r="K5" s="5">
        <f>IF(A5="","",DATE(YEAR(A5),MONTH(A5),1))</f>
        <v/>
      </c>
      <c r="L5" s="6">
        <f>IF(F5&lt;&gt;"",LOWER(TRIM(F5)),D5)</f>
        <v/>
      </c>
      <c r="M5" s="6">
        <f>IF(L5="","",IF(COUNTIF($L$2:L5,L5)=1,1,0))</f>
        <v/>
      </c>
    </row>
    <row r="6">
      <c r="A6" s="2" t="n">
        <v>45940.41666666666</v>
      </c>
      <c r="B6" s="3" t="inlineStr">
        <is>
          <t>Dubai Retail Sales</t>
        </is>
      </c>
      <c r="C6" s="3" t="inlineStr">
        <is>
          <t>Noah</t>
        </is>
      </c>
      <c r="D6" s="3" t="inlineStr">
        <is>
          <t>wamid-0005</t>
        </is>
      </c>
      <c r="E6" s="3" t="inlineStr">
        <is>
          <t>Sale: customer=Ali Khan, product=Apple Watch, amount=22999, phone=9849621470</t>
        </is>
      </c>
      <c r="F6" s="3" t="inlineStr">
        <is>
          <t>Ali Khan</t>
        </is>
      </c>
      <c r="G6" s="3" t="inlineStr">
        <is>
          <t>Apple Watch</t>
        </is>
      </c>
      <c r="H6" s="4" t="n">
        <v>22999</v>
      </c>
      <c r="I6" s="3" t="inlineStr">
        <is>
          <t>9849621470</t>
        </is>
      </c>
      <c r="J6" s="3" t="inlineStr">
        <is>
          <t>parsed</t>
        </is>
      </c>
      <c r="K6" s="5">
        <f>IF(A6="","",DATE(YEAR(A6),MONTH(A6),1))</f>
        <v/>
      </c>
      <c r="L6" s="6">
        <f>IF(F6&lt;&gt;"",LOWER(TRIM(F6)),D6)</f>
        <v/>
      </c>
      <c r="M6" s="6">
        <f>IF(L6="","",IF(COUNTIF($L$2:L6,L6)=1,1,0))</f>
        <v/>
      </c>
    </row>
    <row r="7">
      <c r="A7" s="2" t="n">
        <v>45942.41666666666</v>
      </c>
      <c r="B7" s="3" t="inlineStr">
        <is>
          <t>Dubai Retail Sales</t>
        </is>
      </c>
      <c r="C7" s="3" t="inlineStr">
        <is>
          <t>Aisha</t>
        </is>
      </c>
      <c r="D7" s="3" t="inlineStr">
        <is>
          <t>wamid-0006</t>
        </is>
      </c>
      <c r="E7" s="3" t="inlineStr">
        <is>
          <t>Sale: customer=Nora Salem, product=AirPods Pro, amount=18999, phone=9209747451</t>
        </is>
      </c>
      <c r="F7" s="3" t="inlineStr">
        <is>
          <t>Nora Salem</t>
        </is>
      </c>
      <c r="G7" s="3" t="inlineStr">
        <is>
          <t>AirPods Pro</t>
        </is>
      </c>
      <c r="H7" s="4" t="n">
        <v>18999</v>
      </c>
      <c r="I7" s="3" t="inlineStr">
        <is>
          <t>9209747451</t>
        </is>
      </c>
      <c r="J7" s="3" t="inlineStr">
        <is>
          <t>parsed</t>
        </is>
      </c>
      <c r="K7" s="5">
        <f>IF(A7="","",DATE(YEAR(A7),MONTH(A7),1))</f>
        <v/>
      </c>
      <c r="L7" s="6">
        <f>IF(F7&lt;&gt;"",LOWER(TRIM(F7)),D7)</f>
        <v/>
      </c>
      <c r="M7" s="6">
        <f>IF(L7="","",IF(COUNTIF($L$2:L7,L7)=1,1,0))</f>
        <v/>
      </c>
    </row>
    <row r="8">
      <c r="A8" s="2" t="n">
        <v>45945.41666666666</v>
      </c>
      <c r="B8" s="3" t="inlineStr">
        <is>
          <t>Dubai Retail Sales</t>
        </is>
      </c>
      <c r="C8" s="3" t="inlineStr">
        <is>
          <t>Aisha</t>
        </is>
      </c>
      <c r="D8" s="3" t="inlineStr">
        <is>
          <t>wamid-0007</t>
        </is>
      </c>
      <c r="E8" s="3" t="inlineStr">
        <is>
          <t>Sale: customer=Anya Verma, product=Apple Watch, amount=22999, phone=9384027113</t>
        </is>
      </c>
      <c r="F8" s="3" t="inlineStr">
        <is>
          <t>Anya Verma</t>
        </is>
      </c>
      <c r="G8" s="3" t="inlineStr">
        <is>
          <t>Apple Watch</t>
        </is>
      </c>
      <c r="H8" s="4" t="n">
        <v>22999</v>
      </c>
      <c r="I8" s="3" t="inlineStr">
        <is>
          <t>9384027113</t>
        </is>
      </c>
      <c r="J8" s="3" t="inlineStr">
        <is>
          <t>parsed</t>
        </is>
      </c>
      <c r="K8" s="5">
        <f>IF(A8="","",DATE(YEAR(A8),MONTH(A8),1))</f>
        <v/>
      </c>
      <c r="L8" s="6">
        <f>IF(F8&lt;&gt;"",LOWER(TRIM(F8)),D8)</f>
        <v/>
      </c>
      <c r="M8" s="6">
        <f>IF(L8="","",IF(COUNTIF($L$2:L8,L8)=1,1,0))</f>
        <v/>
      </c>
    </row>
    <row r="9">
      <c r="A9" s="2" t="n">
        <v>45946.41666666666</v>
      </c>
      <c r="B9" s="3" t="inlineStr">
        <is>
          <t>Dubai Retail Sales</t>
        </is>
      </c>
      <c r="C9" s="3" t="inlineStr">
        <is>
          <t>Priya</t>
        </is>
      </c>
      <c r="D9" s="3" t="inlineStr">
        <is>
          <t>wamid-0008</t>
        </is>
      </c>
      <c r="E9" s="3" t="inlineStr">
        <is>
          <t>Sale: customer=Kabir Singh, product=MacBook Air, amount=83199, phone=9184611066</t>
        </is>
      </c>
      <c r="F9" s="3" t="inlineStr">
        <is>
          <t>Kabir Singh</t>
        </is>
      </c>
      <c r="G9" s="3" t="inlineStr">
        <is>
          <t>MacBook Air</t>
        </is>
      </c>
      <c r="H9" s="4" t="n">
        <v>83199</v>
      </c>
      <c r="I9" s="3" t="inlineStr">
        <is>
          <t>9184611066</t>
        </is>
      </c>
      <c r="J9" s="3" t="inlineStr">
        <is>
          <t>parsed</t>
        </is>
      </c>
      <c r="K9" s="5">
        <f>IF(A9="","",DATE(YEAR(A9),MONTH(A9),1))</f>
        <v/>
      </c>
      <c r="L9" s="6">
        <f>IF(F9&lt;&gt;"",LOWER(TRIM(F9)),D9)</f>
        <v/>
      </c>
      <c r="M9" s="6">
        <f>IF(L9="","",IF(COUNTIF($L$2:L9,L9)=1,1,0))</f>
        <v/>
      </c>
    </row>
    <row r="10">
      <c r="A10" s="2" t="n">
        <v>45948.41666666666</v>
      </c>
      <c r="B10" s="3" t="inlineStr">
        <is>
          <t>Dubai Retail Sales</t>
        </is>
      </c>
      <c r="C10" s="3" t="inlineStr">
        <is>
          <t>Omar</t>
        </is>
      </c>
      <c r="D10" s="3" t="inlineStr">
        <is>
          <t>wamid-0009</t>
        </is>
      </c>
      <c r="E10" s="3" t="inlineStr">
        <is>
          <t>Sale: customer=Meera Shah, product=AirPods Pro, amount=17199, phone=9149203558</t>
        </is>
      </c>
      <c r="F10" s="3" t="inlineStr">
        <is>
          <t>Meera Shah</t>
        </is>
      </c>
      <c r="G10" s="3" t="inlineStr">
        <is>
          <t>AirPods Pro</t>
        </is>
      </c>
      <c r="H10" s="4" t="n">
        <v>17199</v>
      </c>
      <c r="I10" s="3" t="inlineStr">
        <is>
          <t>9149203558</t>
        </is>
      </c>
      <c r="J10" s="3" t="inlineStr">
        <is>
          <t>parsed</t>
        </is>
      </c>
      <c r="K10" s="5">
        <f>IF(A10="","",DATE(YEAR(A10),MONTH(A10),1))</f>
        <v/>
      </c>
      <c r="L10" s="6">
        <f>IF(F10&lt;&gt;"",LOWER(TRIM(F10)),D10)</f>
        <v/>
      </c>
      <c r="M10" s="6">
        <f>IF(L10="","",IF(COUNTIF($L$2:L10,L10)=1,1,0))</f>
        <v/>
      </c>
    </row>
    <row r="11">
      <c r="A11" s="2" t="n">
        <v>45950.41666666666</v>
      </c>
      <c r="B11" s="3" t="inlineStr">
        <is>
          <t>Dubai Retail Sales</t>
        </is>
      </c>
      <c r="C11" s="3" t="inlineStr">
        <is>
          <t>Fatima</t>
        </is>
      </c>
      <c r="D11" s="3" t="inlineStr">
        <is>
          <t>wamid-0010</t>
        </is>
      </c>
      <c r="E11" s="3" t="inlineStr">
        <is>
          <t>Sale: customer=Meera Shah, product=Galaxy S24, amount=45999, phone=9508157429</t>
        </is>
      </c>
      <c r="F11" s="3" t="inlineStr">
        <is>
          <t>Meera Shah</t>
        </is>
      </c>
      <c r="G11" s="3" t="inlineStr">
        <is>
          <t>Galaxy S24</t>
        </is>
      </c>
      <c r="H11" s="4" t="n">
        <v>45999</v>
      </c>
      <c r="I11" s="3" t="inlineStr">
        <is>
          <t>9508157429</t>
        </is>
      </c>
      <c r="J11" s="3" t="inlineStr">
        <is>
          <t>parsed</t>
        </is>
      </c>
      <c r="K11" s="5">
        <f>IF(A11="","",DATE(YEAR(A11),MONTH(A11),1))</f>
        <v/>
      </c>
      <c r="L11" s="6">
        <f>IF(F11&lt;&gt;"",LOWER(TRIM(F11)),D11)</f>
        <v/>
      </c>
      <c r="M11" s="6">
        <f>IF(L11="","",IF(COUNTIF($L$2:L11,L11)=1,1,0))</f>
        <v/>
      </c>
    </row>
    <row r="12">
      <c r="A12" s="2" t="n">
        <v>45952.41666666666</v>
      </c>
      <c r="B12" s="3" t="inlineStr">
        <is>
          <t>Dubai Retail Sales</t>
        </is>
      </c>
      <c r="C12" s="3" t="inlineStr">
        <is>
          <t>Fatima</t>
        </is>
      </c>
      <c r="D12" s="3" t="inlineStr">
        <is>
          <t>wamid-0011</t>
        </is>
      </c>
      <c r="E12" s="3" t="inlineStr">
        <is>
          <t>Sale: customer=Sara James, product=Apple Watch, amount=22999, phone=9819595113</t>
        </is>
      </c>
      <c r="F12" s="3" t="inlineStr">
        <is>
          <t>Sara James</t>
        </is>
      </c>
      <c r="G12" s="3" t="inlineStr">
        <is>
          <t>Apple Watch</t>
        </is>
      </c>
      <c r="H12" s="4" t="n">
        <v>22999</v>
      </c>
      <c r="I12" s="3" t="inlineStr">
        <is>
          <t>9819595113</t>
        </is>
      </c>
      <c r="J12" s="3" t="inlineStr">
        <is>
          <t>parsed</t>
        </is>
      </c>
      <c r="K12" s="5">
        <f>IF(A12="","",DATE(YEAR(A12),MONTH(A12),1))</f>
        <v/>
      </c>
      <c r="L12" s="6">
        <f>IF(F12&lt;&gt;"",LOWER(TRIM(F12)),D12)</f>
        <v/>
      </c>
      <c r="M12" s="6">
        <f>IF(L12="","",IF(COUNTIF($L$2:L12,L12)=1,1,0))</f>
        <v/>
      </c>
    </row>
    <row r="13">
      <c r="A13" s="2" t="n">
        <v>45955.41666666666</v>
      </c>
      <c r="B13" s="3" t="inlineStr">
        <is>
          <t>Dubai Retail Sales</t>
        </is>
      </c>
      <c r="C13" s="3" t="inlineStr">
        <is>
          <t>Rahul</t>
        </is>
      </c>
      <c r="D13" s="3" t="inlineStr">
        <is>
          <t>wamid-0012</t>
        </is>
      </c>
      <c r="E13" s="3" t="inlineStr">
        <is>
          <t>Sale: customer=Yusuf Ahmed, product=MacBook Air, amount=83199, phone=9882893941</t>
        </is>
      </c>
      <c r="F13" s="3" t="inlineStr">
        <is>
          <t>Yusuf Ahmed</t>
        </is>
      </c>
      <c r="G13" s="3" t="inlineStr">
        <is>
          <t>MacBook Air</t>
        </is>
      </c>
      <c r="H13" s="4" t="n">
        <v>83199</v>
      </c>
      <c r="I13" s="3" t="inlineStr">
        <is>
          <t>9882893941</t>
        </is>
      </c>
      <c r="J13" s="3" t="inlineStr">
        <is>
          <t>parsed</t>
        </is>
      </c>
      <c r="K13" s="5">
        <f>IF(A13="","",DATE(YEAR(A13),MONTH(A13),1))</f>
        <v/>
      </c>
      <c r="L13" s="6">
        <f>IF(F13&lt;&gt;"",LOWER(TRIM(F13)),D13)</f>
        <v/>
      </c>
      <c r="M13" s="6">
        <f>IF(L13="","",IF(COUNTIF($L$2:L13,L13)=1,1,0))</f>
        <v/>
      </c>
    </row>
    <row r="14">
      <c r="A14" s="2" t="n">
        <v>45956.41666666666</v>
      </c>
      <c r="B14" s="3" t="inlineStr">
        <is>
          <t>Dubai Retail Sales</t>
        </is>
      </c>
      <c r="C14" s="3" t="inlineStr">
        <is>
          <t>Priya</t>
        </is>
      </c>
      <c r="D14" s="3" t="inlineStr">
        <is>
          <t>wamid-0013</t>
        </is>
      </c>
      <c r="E14" s="3" t="inlineStr">
        <is>
          <t>Sale: customer=Leah Thomas, product=Galaxy S24, amount=44799, phone=9838908273</t>
        </is>
      </c>
      <c r="F14" s="3" t="inlineStr">
        <is>
          <t>Leah Thomas</t>
        </is>
      </c>
      <c r="G14" s="3" t="inlineStr">
        <is>
          <t>Galaxy S24</t>
        </is>
      </c>
      <c r="H14" s="4" t="n">
        <v>44799</v>
      </c>
      <c r="I14" s="3" t="inlineStr">
        <is>
          <t>9838908273</t>
        </is>
      </c>
      <c r="J14" s="3" t="inlineStr">
        <is>
          <t>parsed</t>
        </is>
      </c>
      <c r="K14" s="5">
        <f>IF(A14="","",DATE(YEAR(A14),MONTH(A14),1))</f>
        <v/>
      </c>
      <c r="L14" s="6">
        <f>IF(F14&lt;&gt;"",LOWER(TRIM(F14)),D14)</f>
        <v/>
      </c>
      <c r="M14" s="6">
        <f>IF(L14="","",IF(COUNTIF($L$2:L14,L14)=1,1,0))</f>
        <v/>
      </c>
    </row>
    <row r="15">
      <c r="A15" s="2" t="n">
        <v>45958.41666666666</v>
      </c>
      <c r="B15" s="3" t="inlineStr">
        <is>
          <t>Dubai Retail Sales</t>
        </is>
      </c>
      <c r="C15" s="3" t="inlineStr">
        <is>
          <t>Fatima</t>
        </is>
      </c>
      <c r="D15" s="3" t="inlineStr">
        <is>
          <t>wamid-0014</t>
        </is>
      </c>
      <c r="E15" s="3" t="inlineStr">
        <is>
          <t>Sale: customer=John Doe, product=Galaxy S24, amount=45999, phone=9964411347</t>
        </is>
      </c>
      <c r="F15" s="3" t="inlineStr">
        <is>
          <t>John Doe</t>
        </is>
      </c>
      <c r="G15" s="3" t="inlineStr">
        <is>
          <t>Galaxy S24</t>
        </is>
      </c>
      <c r="H15" s="4" t="n">
        <v>45999</v>
      </c>
      <c r="I15" s="3" t="inlineStr">
        <is>
          <t>9964411347</t>
        </is>
      </c>
      <c r="J15" s="3" t="inlineStr">
        <is>
          <t>parsed</t>
        </is>
      </c>
      <c r="K15" s="5">
        <f>IF(A15="","",DATE(YEAR(A15),MONTH(A15),1))</f>
        <v/>
      </c>
      <c r="L15" s="6">
        <f>IF(F15&lt;&gt;"",LOWER(TRIM(F15)),D15)</f>
        <v/>
      </c>
      <c r="M15" s="6">
        <f>IF(L15="","",IF(COUNTIF($L$2:L15,L15)=1,1,0))</f>
        <v/>
      </c>
    </row>
    <row r="16">
      <c r="A16" s="2" t="n">
        <v>45960.41666666666</v>
      </c>
      <c r="B16" s="3" t="inlineStr">
        <is>
          <t>Dubai Retail Sales</t>
        </is>
      </c>
      <c r="C16" s="3" t="inlineStr">
        <is>
          <t>Fatima</t>
        </is>
      </c>
      <c r="D16" s="3" t="inlineStr">
        <is>
          <t>wamid-0015</t>
        </is>
      </c>
      <c r="E16" s="3" t="inlineStr">
        <is>
          <t>Sale: customer=Anya Verma, product=Apple Watch, amount=22999, phone=9870854579</t>
        </is>
      </c>
      <c r="F16" s="3" t="inlineStr">
        <is>
          <t>Anya Verma</t>
        </is>
      </c>
      <c r="G16" s="3" t="inlineStr">
        <is>
          <t>Apple Watch</t>
        </is>
      </c>
      <c r="H16" s="4" t="n">
        <v>22999</v>
      </c>
      <c r="I16" s="3" t="inlineStr">
        <is>
          <t>9870854579</t>
        </is>
      </c>
      <c r="J16" s="3" t="inlineStr">
        <is>
          <t>parsed</t>
        </is>
      </c>
      <c r="K16" s="5">
        <f>IF(A16="","",DATE(YEAR(A16),MONTH(A16),1))</f>
        <v/>
      </c>
      <c r="L16" s="6">
        <f>IF(F16&lt;&gt;"",LOWER(TRIM(F16)),D16)</f>
        <v/>
      </c>
      <c r="M16" s="6">
        <f>IF(L16="","",IF(COUNTIF($L$2:L16,L16)=1,1,0))</f>
        <v/>
      </c>
    </row>
    <row r="17">
      <c r="A17" s="2" t="n">
        <v>45962.41666666666</v>
      </c>
      <c r="B17" s="3" t="inlineStr">
        <is>
          <t>Dubai Retail Sales</t>
        </is>
      </c>
      <c r="C17" s="3" t="inlineStr">
        <is>
          <t>Rahul</t>
        </is>
      </c>
      <c r="D17" s="3" t="inlineStr">
        <is>
          <t>wamid-0016</t>
        </is>
      </c>
      <c r="E17" s="3" t="inlineStr">
        <is>
          <t>Sale: customer=Leah Thomas, product=Galaxy S24, amount=44799, phone=9592688426</t>
        </is>
      </c>
      <c r="F17" s="3" t="inlineStr">
        <is>
          <t>Leah Thomas</t>
        </is>
      </c>
      <c r="G17" s="3" t="inlineStr">
        <is>
          <t>Galaxy S24</t>
        </is>
      </c>
      <c r="H17" s="4" t="n">
        <v>44799</v>
      </c>
      <c r="I17" s="3" t="inlineStr">
        <is>
          <t>9592688426</t>
        </is>
      </c>
      <c r="J17" s="3" t="inlineStr">
        <is>
          <t>parsed</t>
        </is>
      </c>
      <c r="K17" s="5">
        <f>IF(A17="","",DATE(YEAR(A17),MONTH(A17),1))</f>
        <v/>
      </c>
      <c r="L17" s="6">
        <f>IF(F17&lt;&gt;"",LOWER(TRIM(F17)),D17)</f>
        <v/>
      </c>
      <c r="M17" s="6">
        <f>IF(L17="","",IF(COUNTIF($L$2:L17,L17)=1,1,0))</f>
        <v/>
      </c>
    </row>
    <row r="18">
      <c r="A18" s="2" t="n">
        <v>45965.41666666666</v>
      </c>
      <c r="B18" s="3" t="inlineStr">
        <is>
          <t>Dubai Retail Sales</t>
        </is>
      </c>
      <c r="C18" s="3" t="inlineStr">
        <is>
          <t>Omar</t>
        </is>
      </c>
      <c r="D18" s="3" t="inlineStr">
        <is>
          <t>wamid-0017</t>
        </is>
      </c>
      <c r="E18" s="3" t="inlineStr">
        <is>
          <t>Sale: customer=Yusuf Ahmed, product=AirPods Pro, amount=18999, phone=9382116655</t>
        </is>
      </c>
      <c r="F18" s="3" t="inlineStr">
        <is>
          <t>Yusuf Ahmed</t>
        </is>
      </c>
      <c r="G18" s="3" t="inlineStr">
        <is>
          <t>AirPods Pro</t>
        </is>
      </c>
      <c r="H18" s="4" t="n">
        <v>18999</v>
      </c>
      <c r="I18" s="3" t="inlineStr">
        <is>
          <t>9382116655</t>
        </is>
      </c>
      <c r="J18" s="3" t="inlineStr">
        <is>
          <t>parsed</t>
        </is>
      </c>
      <c r="K18" s="5">
        <f>IF(A18="","",DATE(YEAR(A18),MONTH(A18),1))</f>
        <v/>
      </c>
      <c r="L18" s="6">
        <f>IF(F18&lt;&gt;"",LOWER(TRIM(F18)),D18)</f>
        <v/>
      </c>
      <c r="M18" s="6">
        <f>IF(L18="","",IF(COUNTIF($L$2:L18,L18)=1,1,0))</f>
        <v/>
      </c>
    </row>
    <row r="19">
      <c r="A19" s="2" t="n">
        <v>45966.41666666666</v>
      </c>
      <c r="B19" s="3" t="inlineStr">
        <is>
          <t>Dubai Retail Sales</t>
        </is>
      </c>
      <c r="C19" s="3" t="inlineStr">
        <is>
          <t>Priya</t>
        </is>
      </c>
      <c r="D19" s="3" t="inlineStr">
        <is>
          <t>wamid-0018</t>
        </is>
      </c>
      <c r="E19" s="3" t="inlineStr">
        <is>
          <t>Sale: customer=Sara James, product=iPad Air, amount=31199, phone=9248532577</t>
        </is>
      </c>
      <c r="F19" s="3" t="inlineStr">
        <is>
          <t>Sara James</t>
        </is>
      </c>
      <c r="G19" s="3" t="inlineStr">
        <is>
          <t>iPad Air</t>
        </is>
      </c>
      <c r="H19" s="4" t="n">
        <v>31199</v>
      </c>
      <c r="I19" s="3" t="inlineStr">
        <is>
          <t>9248532577</t>
        </is>
      </c>
      <c r="J19" s="3" t="inlineStr">
        <is>
          <t>parsed</t>
        </is>
      </c>
      <c r="K19" s="5">
        <f>IF(A19="","",DATE(YEAR(A19),MONTH(A19),1))</f>
        <v/>
      </c>
      <c r="L19" s="6">
        <f>IF(F19&lt;&gt;"",LOWER(TRIM(F19)),D19)</f>
        <v/>
      </c>
      <c r="M19" s="6">
        <f>IF(L19="","",IF(COUNTIF($L$2:L19,L19)=1,1,0))</f>
        <v/>
      </c>
    </row>
    <row r="20">
      <c r="A20" s="2" t="n">
        <v>45969.41666666666</v>
      </c>
      <c r="B20" s="3" t="inlineStr">
        <is>
          <t>Dubai Retail Sales</t>
        </is>
      </c>
      <c r="C20" s="3" t="inlineStr">
        <is>
          <t>Rahul</t>
        </is>
      </c>
      <c r="D20" s="3" t="inlineStr">
        <is>
          <t>wamid-0019</t>
        </is>
      </c>
      <c r="E20" s="3" t="inlineStr">
        <is>
          <t>Sale: customer=Ali Khan, product=Apple Watch, amount=22999, phone=9773715057</t>
        </is>
      </c>
      <c r="F20" s="3" t="inlineStr">
        <is>
          <t>Ali Khan</t>
        </is>
      </c>
      <c r="G20" s="3" t="inlineStr">
        <is>
          <t>Apple Watch</t>
        </is>
      </c>
      <c r="H20" s="4" t="n">
        <v>22999</v>
      </c>
      <c r="I20" s="3" t="inlineStr">
        <is>
          <t>9773715057</t>
        </is>
      </c>
      <c r="J20" s="3" t="inlineStr">
        <is>
          <t>parsed</t>
        </is>
      </c>
      <c r="K20" s="5">
        <f>IF(A20="","",DATE(YEAR(A20),MONTH(A20),1))</f>
        <v/>
      </c>
      <c r="L20" s="6">
        <f>IF(F20&lt;&gt;"",LOWER(TRIM(F20)),D20)</f>
        <v/>
      </c>
      <c r="M20" s="6">
        <f>IF(L20="","",IF(COUNTIF($L$2:L20,L20)=1,1,0))</f>
        <v/>
      </c>
    </row>
    <row r="21">
      <c r="A21" s="2" t="n">
        <v>45970.41666666666</v>
      </c>
      <c r="B21" s="3" t="inlineStr">
        <is>
          <t>Dubai Retail Sales</t>
        </is>
      </c>
      <c r="C21" s="3" t="inlineStr">
        <is>
          <t>Priya</t>
        </is>
      </c>
      <c r="D21" s="3" t="inlineStr">
        <is>
          <t>wamid-0020</t>
        </is>
      </c>
      <c r="E21" s="3" t="inlineStr">
        <is>
          <t>Sale: customer=unknown, product=MacBook Air, amount=83199, phone=9509760584</t>
        </is>
      </c>
      <c r="F21" s="3" t="inlineStr"/>
      <c r="G21" s="3" t="inlineStr"/>
      <c r="H21" s="4" t="n">
        <v>0</v>
      </c>
      <c r="I21" s="3" t="inlineStr"/>
      <c r="J21" s="3" t="inlineStr">
        <is>
          <t>failed</t>
        </is>
      </c>
      <c r="K21" s="5">
        <f>IF(A21="","",DATE(YEAR(A21),MONTH(A21),1))</f>
        <v/>
      </c>
      <c r="L21" s="6">
        <f>IF(F21&lt;&gt;"",LOWER(TRIM(F21)),D21)</f>
        <v/>
      </c>
      <c r="M21" s="6">
        <f>IF(L21="","",IF(COUNTIF($L$2:L21,L21)=1,1,0))</f>
        <v/>
      </c>
    </row>
    <row r="22">
      <c r="A22" s="2" t="n">
        <v>45972.41666666666</v>
      </c>
      <c r="B22" s="3" t="inlineStr">
        <is>
          <t>Dubai Retail Sales</t>
        </is>
      </c>
      <c r="C22" s="3" t="inlineStr">
        <is>
          <t>Omar</t>
        </is>
      </c>
      <c r="D22" s="3" t="inlineStr">
        <is>
          <t>wamid-0021</t>
        </is>
      </c>
      <c r="E22" s="3" t="inlineStr">
        <is>
          <t>Sale: customer=John Doe, product=Apple Watch, amount=21199, phone=9830448745</t>
        </is>
      </c>
      <c r="F22" s="3" t="inlineStr">
        <is>
          <t>John Doe</t>
        </is>
      </c>
      <c r="G22" s="3" t="inlineStr">
        <is>
          <t>Apple Watch</t>
        </is>
      </c>
      <c r="H22" s="4" t="n">
        <v>21199</v>
      </c>
      <c r="I22" s="3" t="inlineStr">
        <is>
          <t>9830448745</t>
        </is>
      </c>
      <c r="J22" s="3" t="inlineStr">
        <is>
          <t>parsed</t>
        </is>
      </c>
      <c r="K22" s="5">
        <f>IF(A22="","",DATE(YEAR(A22),MONTH(A22),1))</f>
        <v/>
      </c>
      <c r="L22" s="6">
        <f>IF(F22&lt;&gt;"",LOWER(TRIM(F22)),D22)</f>
        <v/>
      </c>
      <c r="M22" s="6">
        <f>IF(L22="","",IF(COUNTIF($L$2:L22,L22)=1,1,0))</f>
        <v/>
      </c>
    </row>
    <row r="23">
      <c r="A23" s="2" t="n">
        <v>45974.41666666666</v>
      </c>
      <c r="B23" s="3" t="inlineStr">
        <is>
          <t>Dubai Retail Sales</t>
        </is>
      </c>
      <c r="C23" s="3" t="inlineStr">
        <is>
          <t>Rahul</t>
        </is>
      </c>
      <c r="D23" s="3" t="inlineStr">
        <is>
          <t>wamid-0022</t>
        </is>
      </c>
      <c r="E23" s="3" t="inlineStr">
        <is>
          <t>Sale: customer=Rohan Patel, product=iPhone 15, amount=47499, phone=9566825638</t>
        </is>
      </c>
      <c r="F23" s="3" t="inlineStr">
        <is>
          <t>Rohan Patel</t>
        </is>
      </c>
      <c r="G23" s="3" t="inlineStr">
        <is>
          <t>iPhone 15</t>
        </is>
      </c>
      <c r="H23" s="4" t="n">
        <v>47499</v>
      </c>
      <c r="I23" s="3" t="inlineStr">
        <is>
          <t>9566825638</t>
        </is>
      </c>
      <c r="J23" s="3" t="inlineStr">
        <is>
          <t>parsed</t>
        </is>
      </c>
      <c r="K23" s="5">
        <f>IF(A23="","",DATE(YEAR(A23),MONTH(A23),1))</f>
        <v/>
      </c>
      <c r="L23" s="6">
        <f>IF(F23&lt;&gt;"",LOWER(TRIM(F23)),D23)</f>
        <v/>
      </c>
      <c r="M23" s="6">
        <f>IF(L23="","",IF(COUNTIF($L$2:L23,L23)=1,1,0))</f>
        <v/>
      </c>
    </row>
    <row r="24">
      <c r="A24" s="2" t="n">
        <v>45977.41666666666</v>
      </c>
      <c r="B24" s="3" t="inlineStr">
        <is>
          <t>Dubai Retail Sales</t>
        </is>
      </c>
      <c r="C24" s="3" t="inlineStr">
        <is>
          <t>Rahul</t>
        </is>
      </c>
      <c r="D24" s="3" t="inlineStr">
        <is>
          <t>wamid-0023</t>
        </is>
      </c>
      <c r="E24" s="3" t="inlineStr">
        <is>
          <t>Sale: customer=Rohan Patel, product=Apple Watch, amount=20499, phone=9637500247</t>
        </is>
      </c>
      <c r="F24" s="3" t="inlineStr">
        <is>
          <t>Rohan Patel</t>
        </is>
      </c>
      <c r="G24" s="3" t="inlineStr">
        <is>
          <t>Apple Watch</t>
        </is>
      </c>
      <c r="H24" s="4" t="n">
        <v>20499</v>
      </c>
      <c r="I24" s="3" t="inlineStr">
        <is>
          <t>9637500247</t>
        </is>
      </c>
      <c r="J24" s="3" t="inlineStr">
        <is>
          <t>parsed</t>
        </is>
      </c>
      <c r="K24" s="5">
        <f>IF(A24="","",DATE(YEAR(A24),MONTH(A24),1))</f>
        <v/>
      </c>
      <c r="L24" s="6">
        <f>IF(F24&lt;&gt;"",LOWER(TRIM(F24)),D24)</f>
        <v/>
      </c>
      <c r="M24" s="6">
        <f>IF(L24="","",IF(COUNTIF($L$2:L24,L24)=1,1,0))</f>
        <v/>
      </c>
    </row>
    <row r="25">
      <c r="A25" s="2" t="n">
        <v>45979.41666666666</v>
      </c>
      <c r="B25" s="3" t="inlineStr">
        <is>
          <t>Dubai Retail Sales</t>
        </is>
      </c>
      <c r="C25" s="3" t="inlineStr">
        <is>
          <t>Priya</t>
        </is>
      </c>
      <c r="D25" s="3" t="inlineStr">
        <is>
          <t>wamid-0024</t>
        </is>
      </c>
      <c r="E25" s="3" t="inlineStr">
        <is>
          <t>Sale: customer=Leah Thomas, product=iPad Air, amount=30499, phone=9645098869</t>
        </is>
      </c>
      <c r="F25" s="3" t="inlineStr">
        <is>
          <t>Leah Thomas</t>
        </is>
      </c>
      <c r="G25" s="3" t="inlineStr">
        <is>
          <t>iPad Air</t>
        </is>
      </c>
      <c r="H25" s="4" t="n">
        <v>30499</v>
      </c>
      <c r="I25" s="3" t="inlineStr">
        <is>
          <t>9645098869</t>
        </is>
      </c>
      <c r="J25" s="3" t="inlineStr">
        <is>
          <t>parsed</t>
        </is>
      </c>
      <c r="K25" s="5">
        <f>IF(A25="","",DATE(YEAR(A25),MONTH(A25),1))</f>
        <v/>
      </c>
      <c r="L25" s="6">
        <f>IF(F25&lt;&gt;"",LOWER(TRIM(F25)),D25)</f>
        <v/>
      </c>
      <c r="M25" s="6">
        <f>IF(L25="","",IF(COUNTIF($L$2:L25,L25)=1,1,0))</f>
        <v/>
      </c>
    </row>
    <row r="26">
      <c r="A26" s="2" t="n">
        <v>45981.41666666666</v>
      </c>
      <c r="B26" s="3" t="inlineStr">
        <is>
          <t>Dubai Retail Sales</t>
        </is>
      </c>
      <c r="C26" s="3" t="inlineStr">
        <is>
          <t>Priya</t>
        </is>
      </c>
      <c r="D26" s="3" t="inlineStr">
        <is>
          <t>wamid-0025</t>
        </is>
      </c>
      <c r="E26" s="3" t="inlineStr">
        <is>
          <t>Sale: customer=Yusuf Ahmed, product=Galaxy S24, amount=45999, phone=9936043811</t>
        </is>
      </c>
      <c r="F26" s="3" t="inlineStr">
        <is>
          <t>Yusuf Ahmed</t>
        </is>
      </c>
      <c r="G26" s="3" t="inlineStr">
        <is>
          <t>Galaxy S24</t>
        </is>
      </c>
      <c r="H26" s="4" t="n">
        <v>45999</v>
      </c>
      <c r="I26" s="3" t="inlineStr">
        <is>
          <t>9936043811</t>
        </is>
      </c>
      <c r="J26" s="3" t="inlineStr">
        <is>
          <t>parsed</t>
        </is>
      </c>
      <c r="K26" s="5">
        <f>IF(A26="","",DATE(YEAR(A26),MONTH(A26),1))</f>
        <v/>
      </c>
      <c r="L26" s="6">
        <f>IF(F26&lt;&gt;"",LOWER(TRIM(F26)),D26)</f>
        <v/>
      </c>
      <c r="M26" s="6">
        <f>IF(L26="","",IF(COUNTIF($L$2:L26,L26)=1,1,0))</f>
        <v/>
      </c>
    </row>
    <row r="27">
      <c r="A27" s="2" t="n">
        <v>45982.41666666666</v>
      </c>
      <c r="B27" s="3" t="inlineStr">
        <is>
          <t>Dubai Retail Sales</t>
        </is>
      </c>
      <c r="C27" s="3" t="inlineStr">
        <is>
          <t>Fatima</t>
        </is>
      </c>
      <c r="D27" s="3" t="inlineStr">
        <is>
          <t>wamid-0026</t>
        </is>
      </c>
      <c r="E27" s="3" t="inlineStr">
        <is>
          <t>Sale: customer=unknown, product=iPhone 15, amount=48799, phone=9489747629</t>
        </is>
      </c>
      <c r="F27" s="3" t="inlineStr"/>
      <c r="G27" s="3" t="inlineStr"/>
      <c r="H27" s="4" t="n">
        <v>0</v>
      </c>
      <c r="I27" s="3" t="inlineStr"/>
      <c r="J27" s="3" t="inlineStr">
        <is>
          <t>failed</t>
        </is>
      </c>
      <c r="K27" s="5">
        <f>IF(A27="","",DATE(YEAR(A27),MONTH(A27),1))</f>
        <v/>
      </c>
      <c r="L27" s="6">
        <f>IF(F27&lt;&gt;"",LOWER(TRIM(F27)),D27)</f>
        <v/>
      </c>
      <c r="M27" s="6">
        <f>IF(L27="","",IF(COUNTIF($L$2:L27,L27)=1,1,0))</f>
        <v/>
      </c>
    </row>
    <row r="28">
      <c r="A28" s="2" t="n">
        <v>45985.41666666666</v>
      </c>
      <c r="B28" s="3" t="inlineStr">
        <is>
          <t>Dubai Retail Sales</t>
        </is>
      </c>
      <c r="C28" s="3" t="inlineStr">
        <is>
          <t>Omar</t>
        </is>
      </c>
      <c r="D28" s="3" t="inlineStr">
        <is>
          <t>wamid-0027</t>
        </is>
      </c>
      <c r="E28" s="3" t="inlineStr">
        <is>
          <t>Sale: customer=Meera Shah, product=Galaxy S24, amount=45999, phone=9191969690</t>
        </is>
      </c>
      <c r="F28" s="3" t="inlineStr">
        <is>
          <t>Meera Shah</t>
        </is>
      </c>
      <c r="G28" s="3" t="inlineStr">
        <is>
          <t>Galaxy S24</t>
        </is>
      </c>
      <c r="H28" s="4" t="n">
        <v>45999</v>
      </c>
      <c r="I28" s="3" t="inlineStr">
        <is>
          <t>9191969690</t>
        </is>
      </c>
      <c r="J28" s="3" t="inlineStr">
        <is>
          <t>parsed</t>
        </is>
      </c>
      <c r="K28" s="5">
        <f>IF(A28="","",DATE(YEAR(A28),MONTH(A28),1))</f>
        <v/>
      </c>
      <c r="L28" s="6">
        <f>IF(F28&lt;&gt;"",LOWER(TRIM(F28)),D28)</f>
        <v/>
      </c>
      <c r="M28" s="6">
        <f>IF(L28="","",IF(COUNTIF($L$2:L28,L28)=1,1,0))</f>
        <v/>
      </c>
    </row>
    <row r="29">
      <c r="A29" s="2" t="n">
        <v>45987.41666666666</v>
      </c>
      <c r="B29" s="3" t="inlineStr">
        <is>
          <t>Dubai Retail Sales</t>
        </is>
      </c>
      <c r="C29" s="3" t="inlineStr">
        <is>
          <t>Noah</t>
        </is>
      </c>
      <c r="D29" s="3" t="inlineStr">
        <is>
          <t>wamid-0028</t>
        </is>
      </c>
      <c r="E29" s="3" t="inlineStr">
        <is>
          <t>Sale: customer=Ali Khan, product=Apple Watch, amount=21199, phone=9808402051</t>
        </is>
      </c>
      <c r="F29" s="3" t="inlineStr">
        <is>
          <t>Ali Khan</t>
        </is>
      </c>
      <c r="G29" s="3" t="inlineStr">
        <is>
          <t>Apple Watch</t>
        </is>
      </c>
      <c r="H29" s="4" t="n">
        <v>21199</v>
      </c>
      <c r="I29" s="3" t="inlineStr">
        <is>
          <t>9808402051</t>
        </is>
      </c>
      <c r="J29" s="3" t="inlineStr">
        <is>
          <t>parsed</t>
        </is>
      </c>
      <c r="K29" s="5">
        <f>IF(A29="","",DATE(YEAR(A29),MONTH(A29),1))</f>
        <v/>
      </c>
      <c r="L29" s="6">
        <f>IF(F29&lt;&gt;"",LOWER(TRIM(F29)),D29)</f>
        <v/>
      </c>
      <c r="M29" s="6">
        <f>IF(L29="","",IF(COUNTIF($L$2:L29,L29)=1,1,0))</f>
        <v/>
      </c>
    </row>
    <row r="30">
      <c r="A30" s="2" t="n">
        <v>45989.41666666666</v>
      </c>
      <c r="B30" s="3" t="inlineStr">
        <is>
          <t>Dubai Retail Sales</t>
        </is>
      </c>
      <c r="C30" s="3" t="inlineStr">
        <is>
          <t>Rahul</t>
        </is>
      </c>
      <c r="D30" s="3" t="inlineStr">
        <is>
          <t>wamid-0029</t>
        </is>
      </c>
      <c r="E30" s="3" t="inlineStr">
        <is>
          <t>Sale: customer=Anya Verma, product=iPad Air, amount=32999, phone=9554340903</t>
        </is>
      </c>
      <c r="F30" s="3" t="inlineStr">
        <is>
          <t>Anya Verma</t>
        </is>
      </c>
      <c r="G30" s="3" t="inlineStr">
        <is>
          <t>iPad Air</t>
        </is>
      </c>
      <c r="H30" s="4" t="n">
        <v>32999</v>
      </c>
      <c r="I30" s="3" t="inlineStr">
        <is>
          <t>9554340903</t>
        </is>
      </c>
      <c r="J30" s="3" t="inlineStr">
        <is>
          <t>parsed</t>
        </is>
      </c>
      <c r="K30" s="5">
        <f>IF(A30="","",DATE(YEAR(A30),MONTH(A30),1))</f>
        <v/>
      </c>
      <c r="L30" s="6">
        <f>IF(F30&lt;&gt;"",LOWER(TRIM(F30)),D30)</f>
        <v/>
      </c>
      <c r="M30" s="6">
        <f>IF(L30="","",IF(COUNTIF($L$2:L30,L30)=1,1,0))</f>
        <v/>
      </c>
    </row>
    <row r="31">
      <c r="A31" s="2" t="n">
        <v>45991.41666666666</v>
      </c>
      <c r="B31" s="3" t="inlineStr">
        <is>
          <t>Dubai Retail Sales</t>
        </is>
      </c>
      <c r="C31" s="3" t="inlineStr">
        <is>
          <t>Fatima</t>
        </is>
      </c>
      <c r="D31" s="3" t="inlineStr">
        <is>
          <t>wamid-0030</t>
        </is>
      </c>
      <c r="E31" s="3" t="inlineStr">
        <is>
          <t>Sale: customer=Leah Thomas, product=iPad Air, amount=30499, phone=9797801251</t>
        </is>
      </c>
      <c r="F31" s="3" t="inlineStr">
        <is>
          <t>Leah Thomas</t>
        </is>
      </c>
      <c r="G31" s="3" t="inlineStr">
        <is>
          <t>iPad Air</t>
        </is>
      </c>
      <c r="H31" s="4" t="n">
        <v>30499</v>
      </c>
      <c r="I31" s="3" t="inlineStr">
        <is>
          <t>9797801251</t>
        </is>
      </c>
      <c r="J31" s="3" t="inlineStr">
        <is>
          <t>parsed</t>
        </is>
      </c>
      <c r="K31" s="5">
        <f>IF(A31="","",DATE(YEAR(A31),MONTH(A31),1))</f>
        <v/>
      </c>
      <c r="L31" s="6">
        <f>IF(F31&lt;&gt;"",LOWER(TRIM(F31)),D31)</f>
        <v/>
      </c>
      <c r="M31" s="6">
        <f>IF(L31="","",IF(COUNTIF($L$2:L31,L31)=1,1,0))</f>
        <v/>
      </c>
    </row>
    <row r="32">
      <c r="A32" s="2" t="n">
        <v>45992.41666666666</v>
      </c>
      <c r="B32" s="3" t="inlineStr">
        <is>
          <t>Dubai Retail Sales</t>
        </is>
      </c>
      <c r="C32" s="3" t="inlineStr">
        <is>
          <t>Aisha</t>
        </is>
      </c>
      <c r="D32" s="3" t="inlineStr">
        <is>
          <t>wamid-0031</t>
        </is>
      </c>
      <c r="E32" s="3" t="inlineStr">
        <is>
          <t>Sale: customer=Meera Shah, product=Apple Watch, amount=22999, phone=9463016614</t>
        </is>
      </c>
      <c r="F32" s="3" t="inlineStr">
        <is>
          <t>Meera Shah</t>
        </is>
      </c>
      <c r="G32" s="3" t="inlineStr">
        <is>
          <t>Apple Watch</t>
        </is>
      </c>
      <c r="H32" s="4" t="n">
        <v>22999</v>
      </c>
      <c r="I32" s="3" t="inlineStr">
        <is>
          <t>9463016614</t>
        </is>
      </c>
      <c r="J32" s="3" t="inlineStr">
        <is>
          <t>parsed</t>
        </is>
      </c>
      <c r="K32" s="5">
        <f>IF(A32="","",DATE(YEAR(A32),MONTH(A32),1))</f>
        <v/>
      </c>
      <c r="L32" s="6">
        <f>IF(F32&lt;&gt;"",LOWER(TRIM(F32)),D32)</f>
        <v/>
      </c>
      <c r="M32" s="6">
        <f>IF(L32="","",IF(COUNTIF($L$2:L32,L32)=1,1,0))</f>
        <v/>
      </c>
    </row>
    <row r="33">
      <c r="A33" s="2" t="n">
        <v>45995.41666666666</v>
      </c>
      <c r="B33" s="3" t="inlineStr">
        <is>
          <t>Dubai Retail Sales</t>
        </is>
      </c>
      <c r="C33" s="3" t="inlineStr">
        <is>
          <t>Omar</t>
        </is>
      </c>
      <c r="D33" s="3" t="inlineStr">
        <is>
          <t>wamid-0032</t>
        </is>
      </c>
      <c r="E33" s="3" t="inlineStr">
        <is>
          <t>Sale: customer=Meera Shah, product=iPad Air, amount=31199, phone=9860038427</t>
        </is>
      </c>
      <c r="F33" s="3" t="inlineStr">
        <is>
          <t>Meera Shah</t>
        </is>
      </c>
      <c r="G33" s="3" t="inlineStr">
        <is>
          <t>iPad Air</t>
        </is>
      </c>
      <c r="H33" s="4" t="n">
        <v>31199</v>
      </c>
      <c r="I33" s="3" t="inlineStr">
        <is>
          <t>9860038427</t>
        </is>
      </c>
      <c r="J33" s="3" t="inlineStr">
        <is>
          <t>parsed</t>
        </is>
      </c>
      <c r="K33" s="5">
        <f>IF(A33="","",DATE(YEAR(A33),MONTH(A33),1))</f>
        <v/>
      </c>
      <c r="L33" s="6">
        <f>IF(F33&lt;&gt;"",LOWER(TRIM(F33)),D33)</f>
        <v/>
      </c>
      <c r="M33" s="6">
        <f>IF(L33="","",IF(COUNTIF($L$2:L33,L33)=1,1,0))</f>
        <v/>
      </c>
    </row>
    <row r="34">
      <c r="A34" s="2" t="n">
        <v>45997.41666666666</v>
      </c>
      <c r="B34" s="3" t="inlineStr">
        <is>
          <t>Dubai Retail Sales</t>
        </is>
      </c>
      <c r="C34" s="3" t="inlineStr">
        <is>
          <t>Priya</t>
        </is>
      </c>
      <c r="D34" s="3" t="inlineStr">
        <is>
          <t>wamid-0033</t>
        </is>
      </c>
      <c r="E34" s="3" t="inlineStr">
        <is>
          <t>Sale: customer=Nora Salem, product=iPhone 15, amount=49999, phone=9176082500</t>
        </is>
      </c>
      <c r="F34" s="3" t="inlineStr">
        <is>
          <t>Nora Salem</t>
        </is>
      </c>
      <c r="G34" s="3" t="inlineStr">
        <is>
          <t>iPhone 15</t>
        </is>
      </c>
      <c r="H34" s="4" t="n">
        <v>49999</v>
      </c>
      <c r="I34" s="3" t="inlineStr">
        <is>
          <t>9176082500</t>
        </is>
      </c>
      <c r="J34" s="3" t="inlineStr">
        <is>
          <t>parsed</t>
        </is>
      </c>
      <c r="K34" s="5">
        <f>IF(A34="","",DATE(YEAR(A34),MONTH(A34),1))</f>
        <v/>
      </c>
      <c r="L34" s="6">
        <f>IF(F34&lt;&gt;"",LOWER(TRIM(F34)),D34)</f>
        <v/>
      </c>
      <c r="M34" s="6">
        <f>IF(L34="","",IF(COUNTIF($L$2:L34,L34)=1,1,0))</f>
        <v/>
      </c>
    </row>
    <row r="35">
      <c r="A35" s="2" t="n">
        <v>45998.41666666666</v>
      </c>
      <c r="B35" s="3" t="inlineStr">
        <is>
          <t>Dubai Retail Sales</t>
        </is>
      </c>
      <c r="C35" s="3" t="inlineStr">
        <is>
          <t>Omar</t>
        </is>
      </c>
      <c r="D35" s="3" t="inlineStr">
        <is>
          <t>wamid-0034</t>
        </is>
      </c>
      <c r="E35" s="3" t="inlineStr">
        <is>
          <t>Sale: customer=Yusuf Ahmed, product=Galaxy S24, amount=43499, phone=9242068763</t>
        </is>
      </c>
      <c r="F35" s="3" t="inlineStr">
        <is>
          <t>Yusuf Ahmed</t>
        </is>
      </c>
      <c r="G35" s="3" t="inlineStr">
        <is>
          <t>Galaxy S24</t>
        </is>
      </c>
      <c r="H35" s="4" t="n">
        <v>43499</v>
      </c>
      <c r="I35" s="3" t="inlineStr">
        <is>
          <t>9242068763</t>
        </is>
      </c>
      <c r="J35" s="3" t="inlineStr">
        <is>
          <t>parsed</t>
        </is>
      </c>
      <c r="K35" s="5">
        <f>IF(A35="","",DATE(YEAR(A35),MONTH(A35),1))</f>
        <v/>
      </c>
      <c r="L35" s="6">
        <f>IF(F35&lt;&gt;"",LOWER(TRIM(F35)),D35)</f>
        <v/>
      </c>
      <c r="M35" s="6">
        <f>IF(L35="","",IF(COUNTIF($L$2:L35,L35)=1,1,0))</f>
        <v/>
      </c>
    </row>
    <row r="36">
      <c r="A36" s="2" t="n">
        <v>46000.41666666666</v>
      </c>
      <c r="B36" s="3" t="inlineStr">
        <is>
          <t>Dubai Retail Sales</t>
        </is>
      </c>
      <c r="C36" s="3" t="inlineStr">
        <is>
          <t>Aisha</t>
        </is>
      </c>
      <c r="D36" s="3" t="inlineStr">
        <is>
          <t>wamid-0035</t>
        </is>
      </c>
      <c r="E36" s="3" t="inlineStr">
        <is>
          <t>Sale: customer=Kabir Singh, product=iPad Air, amount=32999, phone=9304451095</t>
        </is>
      </c>
      <c r="F36" s="3" t="inlineStr">
        <is>
          <t>Kabir Singh</t>
        </is>
      </c>
      <c r="G36" s="3" t="inlineStr">
        <is>
          <t>iPad Air</t>
        </is>
      </c>
      <c r="H36" s="4" t="n">
        <v>32999</v>
      </c>
      <c r="I36" s="3" t="inlineStr">
        <is>
          <t>9304451095</t>
        </is>
      </c>
      <c r="J36" s="3" t="inlineStr">
        <is>
          <t>parsed</t>
        </is>
      </c>
      <c r="K36" s="5">
        <f>IF(A36="","",DATE(YEAR(A36),MONTH(A36),1))</f>
        <v/>
      </c>
      <c r="L36" s="6">
        <f>IF(F36&lt;&gt;"",LOWER(TRIM(F36)),D36)</f>
        <v/>
      </c>
      <c r="M36" s="6">
        <f>IF(L36="","",IF(COUNTIF($L$2:L36,L36)=1,1,0))</f>
        <v/>
      </c>
    </row>
    <row r="37">
      <c r="A37" s="2" t="n">
        <v>46002.41666666666</v>
      </c>
      <c r="B37" s="3" t="inlineStr">
        <is>
          <t>Dubai Retail Sales</t>
        </is>
      </c>
      <c r="C37" s="3" t="inlineStr">
        <is>
          <t>Aisha</t>
        </is>
      </c>
      <c r="D37" s="3" t="inlineStr">
        <is>
          <t>wamid-0036</t>
        </is>
      </c>
      <c r="E37" s="3" t="inlineStr">
        <is>
          <t>Sale: customer=Emma Clark, product=iPhone 15, amount=49999, phone=9882839238</t>
        </is>
      </c>
      <c r="F37" s="3" t="inlineStr">
        <is>
          <t>Emma Clark</t>
        </is>
      </c>
      <c r="G37" s="3" t="inlineStr">
        <is>
          <t>iPhone 15</t>
        </is>
      </c>
      <c r="H37" s="4" t="n">
        <v>49999</v>
      </c>
      <c r="I37" s="3" t="inlineStr">
        <is>
          <t>9882839238</t>
        </is>
      </c>
      <c r="J37" s="3" t="inlineStr">
        <is>
          <t>parsed</t>
        </is>
      </c>
      <c r="K37" s="5">
        <f>IF(A37="","",DATE(YEAR(A37),MONTH(A37),1))</f>
        <v/>
      </c>
      <c r="L37" s="6">
        <f>IF(F37&lt;&gt;"",LOWER(TRIM(F37)),D37)</f>
        <v/>
      </c>
      <c r="M37" s="6">
        <f>IF(L37="","",IF(COUNTIF($L$2:L37,L37)=1,1,0))</f>
        <v/>
      </c>
    </row>
    <row r="38">
      <c r="A38" s="2" t="n">
        <v>46005.41666666666</v>
      </c>
      <c r="B38" s="3" t="inlineStr">
        <is>
          <t>Dubai Retail Sales</t>
        </is>
      </c>
      <c r="C38" s="3" t="inlineStr">
        <is>
          <t>Aisha</t>
        </is>
      </c>
      <c r="D38" s="3" t="inlineStr">
        <is>
          <t>wamid-0037</t>
        </is>
      </c>
      <c r="E38" s="3" t="inlineStr">
        <is>
          <t>Sale: customer=Nora Salem, product=MacBook Air, amount=84999, phone=9959629660</t>
        </is>
      </c>
      <c r="F38" s="3" t="inlineStr">
        <is>
          <t>Nora Salem</t>
        </is>
      </c>
      <c r="G38" s="3" t="inlineStr">
        <is>
          <t>MacBook Air</t>
        </is>
      </c>
      <c r="H38" s="4" t="n">
        <v>84999</v>
      </c>
      <c r="I38" s="3" t="inlineStr">
        <is>
          <t>9959629660</t>
        </is>
      </c>
      <c r="J38" s="3" t="inlineStr">
        <is>
          <t>parsed</t>
        </is>
      </c>
      <c r="K38" s="5">
        <f>IF(A38="","",DATE(YEAR(A38),MONTH(A38),1))</f>
        <v/>
      </c>
      <c r="L38" s="6">
        <f>IF(F38&lt;&gt;"",LOWER(TRIM(F38)),D38)</f>
        <v/>
      </c>
      <c r="M38" s="6">
        <f>IF(L38="","",IF(COUNTIF($L$2:L38,L38)=1,1,0))</f>
        <v/>
      </c>
    </row>
    <row r="39">
      <c r="A39" s="2" t="n">
        <v>46007.41666666666</v>
      </c>
      <c r="B39" s="3" t="inlineStr">
        <is>
          <t>Dubai Retail Sales</t>
        </is>
      </c>
      <c r="C39" s="3" t="inlineStr">
        <is>
          <t>Rahul</t>
        </is>
      </c>
      <c r="D39" s="3" t="inlineStr">
        <is>
          <t>wamid-0038</t>
        </is>
      </c>
      <c r="E39" s="3" t="inlineStr">
        <is>
          <t>Sale: customer=Ali Khan, product=Galaxy S24, amount=45999, phone=9552991960</t>
        </is>
      </c>
      <c r="F39" s="3" t="inlineStr">
        <is>
          <t>Ali Khan</t>
        </is>
      </c>
      <c r="G39" s="3" t="inlineStr">
        <is>
          <t>Galaxy S24</t>
        </is>
      </c>
      <c r="H39" s="4" t="n">
        <v>45999</v>
      </c>
      <c r="I39" s="3" t="inlineStr">
        <is>
          <t>9552991960</t>
        </is>
      </c>
      <c r="J39" s="3" t="inlineStr">
        <is>
          <t>parsed</t>
        </is>
      </c>
      <c r="K39" s="5">
        <f>IF(A39="","",DATE(YEAR(A39),MONTH(A39),1))</f>
        <v/>
      </c>
      <c r="L39" s="6">
        <f>IF(F39&lt;&gt;"",LOWER(TRIM(F39)),D39)</f>
        <v/>
      </c>
      <c r="M39" s="6">
        <f>IF(L39="","",IF(COUNTIF($L$2:L39,L39)=1,1,0))</f>
        <v/>
      </c>
    </row>
    <row r="40">
      <c r="A40" s="2" t="n">
        <v>46008.41666666666</v>
      </c>
      <c r="B40" s="3" t="inlineStr">
        <is>
          <t>Dubai Retail Sales</t>
        </is>
      </c>
      <c r="C40" s="3" t="inlineStr">
        <is>
          <t>Priya</t>
        </is>
      </c>
      <c r="D40" s="3" t="inlineStr">
        <is>
          <t>wamid-0039</t>
        </is>
      </c>
      <c r="E40" s="3" t="inlineStr">
        <is>
          <t>Sale: customer=Meera Shah, product=AirPods Pro, amount=18999, phone=9575808013</t>
        </is>
      </c>
      <c r="F40" s="3" t="inlineStr">
        <is>
          <t>Meera Shah</t>
        </is>
      </c>
      <c r="G40" s="3" t="inlineStr">
        <is>
          <t>AirPods Pro</t>
        </is>
      </c>
      <c r="H40" s="4" t="n">
        <v>18999</v>
      </c>
      <c r="I40" s="3" t="inlineStr">
        <is>
          <t>9575808013</t>
        </is>
      </c>
      <c r="J40" s="3" t="inlineStr">
        <is>
          <t>parsed</t>
        </is>
      </c>
      <c r="K40" s="5">
        <f>IF(A40="","",DATE(YEAR(A40),MONTH(A40),1))</f>
        <v/>
      </c>
      <c r="L40" s="6">
        <f>IF(F40&lt;&gt;"",LOWER(TRIM(F40)),D40)</f>
        <v/>
      </c>
      <c r="M40" s="6">
        <f>IF(L40="","",IF(COUNTIF($L$2:L40,L40)=1,1,0))</f>
        <v/>
      </c>
    </row>
    <row r="41">
      <c r="A41" s="2" t="n">
        <v>46011.41666666666</v>
      </c>
      <c r="B41" s="3" t="inlineStr">
        <is>
          <t>Dubai Retail Sales</t>
        </is>
      </c>
      <c r="C41" s="3" t="inlineStr">
        <is>
          <t>Rahul</t>
        </is>
      </c>
      <c r="D41" s="3" t="inlineStr">
        <is>
          <t>wamid-0040</t>
        </is>
      </c>
      <c r="E41" s="3" t="inlineStr">
        <is>
          <t>Sale: customer=John Doe, product=iPhone 15, amount=47499, phone=9200140141</t>
        </is>
      </c>
      <c r="F41" s="3" t="inlineStr">
        <is>
          <t>John Doe</t>
        </is>
      </c>
      <c r="G41" s="3" t="inlineStr">
        <is>
          <t>iPhone 15</t>
        </is>
      </c>
      <c r="H41" s="4" t="n">
        <v>47499</v>
      </c>
      <c r="I41" s="3" t="inlineStr">
        <is>
          <t>9200140141</t>
        </is>
      </c>
      <c r="J41" s="3" t="inlineStr">
        <is>
          <t>parsed</t>
        </is>
      </c>
      <c r="K41" s="5">
        <f>IF(A41="","",DATE(YEAR(A41),MONTH(A41),1))</f>
        <v/>
      </c>
      <c r="L41" s="6">
        <f>IF(F41&lt;&gt;"",LOWER(TRIM(F41)),D41)</f>
        <v/>
      </c>
      <c r="M41" s="6">
        <f>IF(L41="","",IF(COUNTIF($L$2:L41,L41)=1,1,0))</f>
        <v/>
      </c>
    </row>
    <row r="42">
      <c r="A42" s="2" t="n">
        <v>46012.41666666666</v>
      </c>
      <c r="B42" s="3" t="inlineStr">
        <is>
          <t>Dubai Retail Sales</t>
        </is>
      </c>
      <c r="C42" s="3" t="inlineStr">
        <is>
          <t>Rahul</t>
        </is>
      </c>
      <c r="D42" s="3" t="inlineStr">
        <is>
          <t>wamid-0041</t>
        </is>
      </c>
      <c r="E42" s="3" t="inlineStr">
        <is>
          <t>Sale: customer=Kabir Singh, product=Galaxy S24, amount=44799, phone=9162959284</t>
        </is>
      </c>
      <c r="F42" s="3" t="inlineStr">
        <is>
          <t>Kabir Singh</t>
        </is>
      </c>
      <c r="G42" s="3" t="inlineStr">
        <is>
          <t>Galaxy S24</t>
        </is>
      </c>
      <c r="H42" s="4" t="n">
        <v>44799</v>
      </c>
      <c r="I42" s="3" t="inlineStr">
        <is>
          <t>9162959284</t>
        </is>
      </c>
      <c r="J42" s="3" t="inlineStr">
        <is>
          <t>parsed</t>
        </is>
      </c>
      <c r="K42" s="5">
        <f>IF(A42="","",DATE(YEAR(A42),MONTH(A42),1))</f>
        <v/>
      </c>
      <c r="L42" s="6">
        <f>IF(F42&lt;&gt;"",LOWER(TRIM(F42)),D42)</f>
        <v/>
      </c>
      <c r="M42" s="6">
        <f>IF(L42="","",IF(COUNTIF($L$2:L42,L42)=1,1,0))</f>
        <v/>
      </c>
    </row>
    <row r="43">
      <c r="A43" s="2" t="n">
        <v>46015.41666666666</v>
      </c>
      <c r="B43" s="3" t="inlineStr">
        <is>
          <t>Dubai Retail Sales</t>
        </is>
      </c>
      <c r="C43" s="3" t="inlineStr">
        <is>
          <t>Noah</t>
        </is>
      </c>
      <c r="D43" s="3" t="inlineStr">
        <is>
          <t>wamid-0042</t>
        </is>
      </c>
      <c r="E43" s="3" t="inlineStr">
        <is>
          <t>Sale: customer=Emma Clark, product=Apple Watch, amount=21799, phone=9406284028</t>
        </is>
      </c>
      <c r="F43" s="3" t="inlineStr">
        <is>
          <t>Emma Clark</t>
        </is>
      </c>
      <c r="G43" s="3" t="inlineStr">
        <is>
          <t>Apple Watch</t>
        </is>
      </c>
      <c r="H43" s="4" t="n">
        <v>21799</v>
      </c>
      <c r="I43" s="3" t="inlineStr">
        <is>
          <t>9406284028</t>
        </is>
      </c>
      <c r="J43" s="3" t="inlineStr">
        <is>
          <t>parsed</t>
        </is>
      </c>
      <c r="K43" s="5">
        <f>IF(A43="","",DATE(YEAR(A43),MONTH(A43),1))</f>
        <v/>
      </c>
      <c r="L43" s="6">
        <f>IF(F43&lt;&gt;"",LOWER(TRIM(F43)),D43)</f>
        <v/>
      </c>
      <c r="M43" s="6">
        <f>IF(L43="","",IF(COUNTIF($L$2:L43,L43)=1,1,0))</f>
        <v/>
      </c>
    </row>
    <row r="44">
      <c r="A44" s="2" t="n">
        <v>46016.41666666666</v>
      </c>
      <c r="B44" s="3" t="inlineStr">
        <is>
          <t>Dubai Retail Sales</t>
        </is>
      </c>
      <c r="C44" s="3" t="inlineStr">
        <is>
          <t>Priya</t>
        </is>
      </c>
      <c r="D44" s="3" t="inlineStr">
        <is>
          <t>wamid-0043</t>
        </is>
      </c>
      <c r="E44" s="3" t="inlineStr">
        <is>
          <t>Sale: customer=Sara James, product=MacBook Air, amount=84999, phone=9162795957</t>
        </is>
      </c>
      <c r="F44" s="3" t="inlineStr">
        <is>
          <t>Sara James</t>
        </is>
      </c>
      <c r="G44" s="3" t="inlineStr">
        <is>
          <t>MacBook Air</t>
        </is>
      </c>
      <c r="H44" s="4" t="n">
        <v>84999</v>
      </c>
      <c r="I44" s="3" t="inlineStr">
        <is>
          <t>9162795957</t>
        </is>
      </c>
      <c r="J44" s="3" t="inlineStr">
        <is>
          <t>parsed</t>
        </is>
      </c>
      <c r="K44" s="5">
        <f>IF(A44="","",DATE(YEAR(A44),MONTH(A44),1))</f>
        <v/>
      </c>
      <c r="L44" s="6">
        <f>IF(F44&lt;&gt;"",LOWER(TRIM(F44)),D44)</f>
        <v/>
      </c>
      <c r="M44" s="6">
        <f>IF(L44="","",IF(COUNTIF($L$2:L44,L44)=1,1,0))</f>
        <v/>
      </c>
    </row>
    <row r="45">
      <c r="A45" s="2" t="n">
        <v>46019.41666666666</v>
      </c>
      <c r="B45" s="3" t="inlineStr">
        <is>
          <t>Dubai Retail Sales</t>
        </is>
      </c>
      <c r="C45" s="3" t="inlineStr">
        <is>
          <t>Noah</t>
        </is>
      </c>
      <c r="D45" s="3" t="inlineStr">
        <is>
          <t>wamid-0044</t>
        </is>
      </c>
      <c r="E45" s="3" t="inlineStr">
        <is>
          <t>Sale: customer=John Doe, product=MacBook Air, amount=82499, phone=9727255918</t>
        </is>
      </c>
      <c r="F45" s="3" t="inlineStr">
        <is>
          <t>John Doe</t>
        </is>
      </c>
      <c r="G45" s="3" t="inlineStr">
        <is>
          <t>MacBook Air</t>
        </is>
      </c>
      <c r="H45" s="4" t="n">
        <v>82499</v>
      </c>
      <c r="I45" s="3" t="inlineStr">
        <is>
          <t>9727255918</t>
        </is>
      </c>
      <c r="J45" s="3" t="inlineStr">
        <is>
          <t>parsed</t>
        </is>
      </c>
      <c r="K45" s="5">
        <f>IF(A45="","",DATE(YEAR(A45),MONTH(A45),1))</f>
        <v/>
      </c>
      <c r="L45" s="6">
        <f>IF(F45&lt;&gt;"",LOWER(TRIM(F45)),D45)</f>
        <v/>
      </c>
      <c r="M45" s="6">
        <f>IF(L45="","",IF(COUNTIF($L$2:L45,L45)=1,1,0))</f>
        <v/>
      </c>
    </row>
    <row r="46">
      <c r="A46" s="2" t="n">
        <v>46021.41666666666</v>
      </c>
      <c r="B46" s="3" t="inlineStr">
        <is>
          <t>Dubai Retail Sales</t>
        </is>
      </c>
      <c r="C46" s="3" t="inlineStr">
        <is>
          <t>Aisha</t>
        </is>
      </c>
      <c r="D46" s="3" t="inlineStr">
        <is>
          <t>wamid-0045</t>
        </is>
      </c>
      <c r="E46" s="3" t="inlineStr">
        <is>
          <t>Sale: customer=Meera Shah, product=iPad Air, amount=32999, phone=9299528037</t>
        </is>
      </c>
      <c r="F46" s="3" t="inlineStr">
        <is>
          <t>Meera Shah</t>
        </is>
      </c>
      <c r="G46" s="3" t="inlineStr">
        <is>
          <t>iPad Air</t>
        </is>
      </c>
      <c r="H46" s="4" t="n">
        <v>32999</v>
      </c>
      <c r="I46" s="3" t="inlineStr">
        <is>
          <t>9299528037</t>
        </is>
      </c>
      <c r="J46" s="3" t="inlineStr">
        <is>
          <t>parsed</t>
        </is>
      </c>
      <c r="K46" s="5">
        <f>IF(A46="","",DATE(YEAR(A46),MONTH(A46),1))</f>
        <v/>
      </c>
      <c r="L46" s="6">
        <f>IF(F46&lt;&gt;"",LOWER(TRIM(F46)),D46)</f>
        <v/>
      </c>
      <c r="M46" s="6">
        <f>IF(L46="","",IF(COUNTIF($L$2:L46,L46)=1,1,0))</f>
        <v/>
      </c>
    </row>
    <row r="47">
      <c r="A47" s="2" t="n">
        <v>46023.41666666666</v>
      </c>
      <c r="B47" s="3" t="inlineStr">
        <is>
          <t>Dubai Retail Sales</t>
        </is>
      </c>
      <c r="C47" s="3" t="inlineStr">
        <is>
          <t>Priya</t>
        </is>
      </c>
      <c r="D47" s="3" t="inlineStr">
        <is>
          <t>wamid-0046</t>
        </is>
      </c>
      <c r="E47" s="3" t="inlineStr">
        <is>
          <t>Sale: customer=Kabir Singh, product=iPad Air, amount=30499, phone=9228727266</t>
        </is>
      </c>
      <c r="F47" s="3" t="inlineStr">
        <is>
          <t>Kabir Singh</t>
        </is>
      </c>
      <c r="G47" s="3" t="inlineStr">
        <is>
          <t>iPad Air</t>
        </is>
      </c>
      <c r="H47" s="4" t="n">
        <v>30499</v>
      </c>
      <c r="I47" s="3" t="inlineStr">
        <is>
          <t>9228727266</t>
        </is>
      </c>
      <c r="J47" s="3" t="inlineStr">
        <is>
          <t>parsed</t>
        </is>
      </c>
      <c r="K47" s="5">
        <f>IF(A47="","",DATE(YEAR(A47),MONTH(A47),1))</f>
        <v/>
      </c>
      <c r="L47" s="6">
        <f>IF(F47&lt;&gt;"",LOWER(TRIM(F47)),D47)</f>
        <v/>
      </c>
      <c r="M47" s="6">
        <f>IF(L47="","",IF(COUNTIF($L$2:L47,L47)=1,1,0))</f>
        <v/>
      </c>
    </row>
    <row r="48">
      <c r="A48" s="2" t="n">
        <v>46025.41666666666</v>
      </c>
      <c r="B48" s="3" t="inlineStr">
        <is>
          <t>Dubai Retail Sales</t>
        </is>
      </c>
      <c r="C48" s="3" t="inlineStr">
        <is>
          <t>Priya</t>
        </is>
      </c>
      <c r="D48" s="3" t="inlineStr">
        <is>
          <t>wamid-0047</t>
        </is>
      </c>
      <c r="E48" s="3" t="inlineStr">
        <is>
          <t>Sale: customer=Leah Thomas, product=Galaxy S24, amount=44199, phone=9726713347</t>
        </is>
      </c>
      <c r="F48" s="3" t="inlineStr">
        <is>
          <t>Leah Thomas</t>
        </is>
      </c>
      <c r="G48" s="3" t="inlineStr">
        <is>
          <t>Galaxy S24</t>
        </is>
      </c>
      <c r="H48" s="4" t="n">
        <v>44199</v>
      </c>
      <c r="I48" s="3" t="inlineStr">
        <is>
          <t>9726713347</t>
        </is>
      </c>
      <c r="J48" s="3" t="inlineStr">
        <is>
          <t>parsed</t>
        </is>
      </c>
      <c r="K48" s="5">
        <f>IF(A48="","",DATE(YEAR(A48),MONTH(A48),1))</f>
        <v/>
      </c>
      <c r="L48" s="6">
        <f>IF(F48&lt;&gt;"",LOWER(TRIM(F48)),D48)</f>
        <v/>
      </c>
      <c r="M48" s="6">
        <f>IF(L48="","",IF(COUNTIF($L$2:L48,L48)=1,1,0))</f>
        <v/>
      </c>
    </row>
    <row r="49">
      <c r="A49" s="2" t="n">
        <v>46026.41666666666</v>
      </c>
      <c r="B49" s="3" t="inlineStr">
        <is>
          <t>Dubai Retail Sales</t>
        </is>
      </c>
      <c r="C49" s="3" t="inlineStr">
        <is>
          <t>Rahul</t>
        </is>
      </c>
      <c r="D49" s="3" t="inlineStr">
        <is>
          <t>wamid-0048</t>
        </is>
      </c>
      <c r="E49" s="3" t="inlineStr">
        <is>
          <t>Sale: customer=Arjun Mehta, product=iPad Air, amount=32999, phone=9437352358</t>
        </is>
      </c>
      <c r="F49" s="3" t="inlineStr">
        <is>
          <t>Arjun Mehta</t>
        </is>
      </c>
      <c r="G49" s="3" t="inlineStr">
        <is>
          <t>iPad Air</t>
        </is>
      </c>
      <c r="H49" s="4" t="n">
        <v>32999</v>
      </c>
      <c r="I49" s="3" t="inlineStr">
        <is>
          <t>9437352358</t>
        </is>
      </c>
      <c r="J49" s="3" t="inlineStr">
        <is>
          <t>parsed</t>
        </is>
      </c>
      <c r="K49" s="5">
        <f>IF(A49="","",DATE(YEAR(A49),MONTH(A49),1))</f>
        <v/>
      </c>
      <c r="L49" s="6">
        <f>IF(F49&lt;&gt;"",LOWER(TRIM(F49)),D49)</f>
        <v/>
      </c>
      <c r="M49" s="6">
        <f>IF(L49="","",IF(COUNTIF($L$2:L49,L49)=1,1,0))</f>
        <v/>
      </c>
    </row>
    <row r="50">
      <c r="A50" s="2" t="n">
        <v>46028.41666666666</v>
      </c>
      <c r="B50" s="3" t="inlineStr">
        <is>
          <t>Dubai Retail Sales</t>
        </is>
      </c>
      <c r="C50" s="3" t="inlineStr">
        <is>
          <t>Fatima</t>
        </is>
      </c>
      <c r="D50" s="3" t="inlineStr">
        <is>
          <t>wamid-0049</t>
        </is>
      </c>
      <c r="E50" s="3" t="inlineStr">
        <is>
          <t>Sale: customer=Rohan Patel, product=AirPods Pro, amount=18999, phone=9590941149</t>
        </is>
      </c>
      <c r="F50" s="3" t="inlineStr">
        <is>
          <t>Rohan Patel</t>
        </is>
      </c>
      <c r="G50" s="3" t="inlineStr">
        <is>
          <t>AirPods Pro</t>
        </is>
      </c>
      <c r="H50" s="4" t="n">
        <v>18999</v>
      </c>
      <c r="I50" s="3" t="inlineStr">
        <is>
          <t>9590941149</t>
        </is>
      </c>
      <c r="J50" s="3" t="inlineStr">
        <is>
          <t>parsed</t>
        </is>
      </c>
      <c r="K50" s="5">
        <f>IF(A50="","",DATE(YEAR(A50),MONTH(A50),1))</f>
        <v/>
      </c>
      <c r="L50" s="6">
        <f>IF(F50&lt;&gt;"",LOWER(TRIM(F50)),D50)</f>
        <v/>
      </c>
      <c r="M50" s="6">
        <f>IF(L50="","",IF(COUNTIF($L$2:L50,L50)=1,1,0))</f>
        <v/>
      </c>
    </row>
    <row r="51">
      <c r="A51" s="2" t="n">
        <v>46031.41666666666</v>
      </c>
      <c r="B51" s="3" t="inlineStr">
        <is>
          <t>Dubai Retail Sales</t>
        </is>
      </c>
      <c r="C51" s="3" t="inlineStr">
        <is>
          <t>Aisha</t>
        </is>
      </c>
      <c r="D51" s="3" t="inlineStr">
        <is>
          <t>wamid-0050</t>
        </is>
      </c>
      <c r="E51" s="3" t="inlineStr">
        <is>
          <t>Sale: customer=Anya Verma, product=iPhone 15, amount=48799, phone=9207354053</t>
        </is>
      </c>
      <c r="F51" s="3" t="inlineStr">
        <is>
          <t>Anya Verma</t>
        </is>
      </c>
      <c r="G51" s="3" t="inlineStr">
        <is>
          <t>iPhone 15</t>
        </is>
      </c>
      <c r="H51" s="4" t="n">
        <v>48799</v>
      </c>
      <c r="I51" s="3" t="inlineStr">
        <is>
          <t>9207354053</t>
        </is>
      </c>
      <c r="J51" s="3" t="inlineStr">
        <is>
          <t>parsed</t>
        </is>
      </c>
      <c r="K51" s="5">
        <f>IF(A51="","",DATE(YEAR(A51),MONTH(A51),1))</f>
        <v/>
      </c>
      <c r="L51" s="6">
        <f>IF(F51&lt;&gt;"",LOWER(TRIM(F51)),D51)</f>
        <v/>
      </c>
      <c r="M51" s="6">
        <f>IF(L51="","",IF(COUNTIF($L$2:L51,L51)=1,1,0))</f>
        <v/>
      </c>
    </row>
    <row r="52">
      <c r="A52" s="2" t="n">
        <v>46033.41666666666</v>
      </c>
      <c r="B52" s="3" t="inlineStr">
        <is>
          <t>Dubai Retail Sales</t>
        </is>
      </c>
      <c r="C52" s="3" t="inlineStr">
        <is>
          <t>Rahul</t>
        </is>
      </c>
      <c r="D52" s="3" t="inlineStr">
        <is>
          <t>wamid-0051</t>
        </is>
      </c>
      <c r="E52" s="3" t="inlineStr">
        <is>
          <t>Sale: customer=Nora Salem, product=iPad Air, amount=31199, phone=9173864104</t>
        </is>
      </c>
      <c r="F52" s="3" t="inlineStr">
        <is>
          <t>Nora Salem</t>
        </is>
      </c>
      <c r="G52" s="3" t="inlineStr">
        <is>
          <t>iPad Air</t>
        </is>
      </c>
      <c r="H52" s="4" t="n">
        <v>31199</v>
      </c>
      <c r="I52" s="3" t="inlineStr">
        <is>
          <t>9173864104</t>
        </is>
      </c>
      <c r="J52" s="3" t="inlineStr">
        <is>
          <t>parsed</t>
        </is>
      </c>
      <c r="K52" s="5">
        <f>IF(A52="","",DATE(YEAR(A52),MONTH(A52),1))</f>
        <v/>
      </c>
      <c r="L52" s="6">
        <f>IF(F52&lt;&gt;"",LOWER(TRIM(F52)),D52)</f>
        <v/>
      </c>
      <c r="M52" s="6">
        <f>IF(L52="","",IF(COUNTIF($L$2:L52,L52)=1,1,0))</f>
        <v/>
      </c>
    </row>
    <row r="53">
      <c r="A53" s="2" t="n">
        <v>46034.41666666666</v>
      </c>
      <c r="B53" s="3" t="inlineStr">
        <is>
          <t>Dubai Retail Sales</t>
        </is>
      </c>
      <c r="C53" s="3" t="inlineStr">
        <is>
          <t>Fatima</t>
        </is>
      </c>
      <c r="D53" s="3" t="inlineStr">
        <is>
          <t>wamid-0052</t>
        </is>
      </c>
      <c r="E53" s="3" t="inlineStr">
        <is>
          <t>Sale: customer=Yusuf Ahmed, product=AirPods Pro, amount=18999, phone=9855420240</t>
        </is>
      </c>
      <c r="F53" s="3" t="inlineStr">
        <is>
          <t>Yusuf Ahmed</t>
        </is>
      </c>
      <c r="G53" s="3" t="inlineStr">
        <is>
          <t>AirPods Pro</t>
        </is>
      </c>
      <c r="H53" s="4" t="n">
        <v>18999</v>
      </c>
      <c r="I53" s="3" t="inlineStr">
        <is>
          <t>9855420240</t>
        </is>
      </c>
      <c r="J53" s="3" t="inlineStr">
        <is>
          <t>parsed</t>
        </is>
      </c>
      <c r="K53" s="5">
        <f>IF(A53="","",DATE(YEAR(A53),MONTH(A53),1))</f>
        <v/>
      </c>
      <c r="L53" s="6">
        <f>IF(F53&lt;&gt;"",LOWER(TRIM(F53)),D53)</f>
        <v/>
      </c>
      <c r="M53" s="6">
        <f>IF(L53="","",IF(COUNTIF($L$2:L53,L53)=1,1,0))</f>
        <v/>
      </c>
    </row>
    <row r="54">
      <c r="A54" s="2" t="n">
        <v>46037.41666666666</v>
      </c>
      <c r="B54" s="3" t="inlineStr">
        <is>
          <t>Dubai Retail Sales</t>
        </is>
      </c>
      <c r="C54" s="3" t="inlineStr">
        <is>
          <t>Aisha</t>
        </is>
      </c>
      <c r="D54" s="3" t="inlineStr">
        <is>
          <t>wamid-0053</t>
        </is>
      </c>
      <c r="E54" s="3" t="inlineStr">
        <is>
          <t>Sale: customer=Rohan Patel, product=iPad Air, amount=30499, phone=9812308209</t>
        </is>
      </c>
      <c r="F54" s="3" t="inlineStr">
        <is>
          <t>Rohan Patel</t>
        </is>
      </c>
      <c r="G54" s="3" t="inlineStr">
        <is>
          <t>iPad Air</t>
        </is>
      </c>
      <c r="H54" s="4" t="n">
        <v>30499</v>
      </c>
      <c r="I54" s="3" t="inlineStr">
        <is>
          <t>9812308209</t>
        </is>
      </c>
      <c r="J54" s="3" t="inlineStr">
        <is>
          <t>parsed</t>
        </is>
      </c>
      <c r="K54" s="5">
        <f>IF(A54="","",DATE(YEAR(A54),MONTH(A54),1))</f>
        <v/>
      </c>
      <c r="L54" s="6">
        <f>IF(F54&lt;&gt;"",LOWER(TRIM(F54)),D54)</f>
        <v/>
      </c>
      <c r="M54" s="6">
        <f>IF(L54="","",IF(COUNTIF($L$2:L54,L54)=1,1,0))</f>
        <v/>
      </c>
    </row>
    <row r="55">
      <c r="A55" s="2" t="n">
        <v>46038.41666666666</v>
      </c>
      <c r="B55" s="3" t="inlineStr">
        <is>
          <t>Dubai Retail Sales</t>
        </is>
      </c>
      <c r="C55" s="3" t="inlineStr">
        <is>
          <t>Rahul</t>
        </is>
      </c>
      <c r="D55" s="3" t="inlineStr">
        <is>
          <t>wamid-0054</t>
        </is>
      </c>
      <c r="E55" s="3" t="inlineStr">
        <is>
          <t>Sale: customer=Arjun Mehta, product=Galaxy S24, amount=45999, phone=9694019365</t>
        </is>
      </c>
      <c r="F55" s="3" t="inlineStr">
        <is>
          <t>Arjun Mehta</t>
        </is>
      </c>
      <c r="G55" s="3" t="inlineStr">
        <is>
          <t>Galaxy S24</t>
        </is>
      </c>
      <c r="H55" s="4" t="n">
        <v>45999</v>
      </c>
      <c r="I55" s="3" t="inlineStr">
        <is>
          <t>9694019365</t>
        </is>
      </c>
      <c r="J55" s="3" t="inlineStr">
        <is>
          <t>parsed</t>
        </is>
      </c>
      <c r="K55" s="5">
        <f>IF(A55="","",DATE(YEAR(A55),MONTH(A55),1))</f>
        <v/>
      </c>
      <c r="L55" s="6">
        <f>IF(F55&lt;&gt;"",LOWER(TRIM(F55)),D55)</f>
        <v/>
      </c>
      <c r="M55" s="6">
        <f>IF(L55="","",IF(COUNTIF($L$2:L55,L55)=1,1,0))</f>
        <v/>
      </c>
    </row>
    <row r="56">
      <c r="A56" s="2" t="n">
        <v>46040.41666666666</v>
      </c>
      <c r="B56" s="3" t="inlineStr">
        <is>
          <t>Dubai Retail Sales</t>
        </is>
      </c>
      <c r="C56" s="3" t="inlineStr">
        <is>
          <t>Omar</t>
        </is>
      </c>
      <c r="D56" s="3" t="inlineStr">
        <is>
          <t>wamid-0055</t>
        </is>
      </c>
      <c r="E56" s="3" t="inlineStr">
        <is>
          <t>Sale: customer=Nora Salem, product=AirPods Pro, amount=17199, phone=9318610946</t>
        </is>
      </c>
      <c r="F56" s="3" t="inlineStr">
        <is>
          <t>Nora Salem</t>
        </is>
      </c>
      <c r="G56" s="3" t="inlineStr">
        <is>
          <t>AirPods Pro</t>
        </is>
      </c>
      <c r="H56" s="4" t="n">
        <v>17199</v>
      </c>
      <c r="I56" s="3" t="inlineStr">
        <is>
          <t>9318610946</t>
        </is>
      </c>
      <c r="J56" s="3" t="inlineStr">
        <is>
          <t>parsed</t>
        </is>
      </c>
      <c r="K56" s="5">
        <f>IF(A56="","",DATE(YEAR(A56),MONTH(A56),1))</f>
        <v/>
      </c>
      <c r="L56" s="6">
        <f>IF(F56&lt;&gt;"",LOWER(TRIM(F56)),D56)</f>
        <v/>
      </c>
      <c r="M56" s="6">
        <f>IF(L56="","",IF(COUNTIF($L$2:L56,L56)=1,1,0))</f>
        <v/>
      </c>
    </row>
    <row r="57">
      <c r="A57" s="2" t="n">
        <v>46042.41666666666</v>
      </c>
      <c r="B57" s="3" t="inlineStr">
        <is>
          <t>Dubai Retail Sales</t>
        </is>
      </c>
      <c r="C57" s="3" t="inlineStr">
        <is>
          <t>Omar</t>
        </is>
      </c>
      <c r="D57" s="3" t="inlineStr">
        <is>
          <t>wamid-0056</t>
        </is>
      </c>
      <c r="E57" s="3" t="inlineStr">
        <is>
          <t>Sale: customer=John Doe, product=MacBook Air, amount=83199, phone=9199104722</t>
        </is>
      </c>
      <c r="F57" s="3" t="inlineStr">
        <is>
          <t>John Doe</t>
        </is>
      </c>
      <c r="G57" s="3" t="inlineStr">
        <is>
          <t>MacBook Air</t>
        </is>
      </c>
      <c r="H57" s="4" t="n">
        <v>83199</v>
      </c>
      <c r="I57" s="3" t="inlineStr">
        <is>
          <t>9199104722</t>
        </is>
      </c>
      <c r="J57" s="3" t="inlineStr">
        <is>
          <t>parsed</t>
        </is>
      </c>
      <c r="K57" s="5">
        <f>IF(A57="","",DATE(YEAR(A57),MONTH(A57),1))</f>
        <v/>
      </c>
      <c r="L57" s="6">
        <f>IF(F57&lt;&gt;"",LOWER(TRIM(F57)),D57)</f>
        <v/>
      </c>
      <c r="M57" s="6">
        <f>IF(L57="","",IF(COUNTIF($L$2:L57,L57)=1,1,0))</f>
        <v/>
      </c>
    </row>
    <row r="58">
      <c r="A58" s="2" t="n">
        <v>46044.41666666666</v>
      </c>
      <c r="B58" s="3" t="inlineStr">
        <is>
          <t>Dubai Retail Sales</t>
        </is>
      </c>
      <c r="C58" s="3" t="inlineStr">
        <is>
          <t>Rahul</t>
        </is>
      </c>
      <c r="D58" s="3" t="inlineStr">
        <is>
          <t>wamid-0057</t>
        </is>
      </c>
      <c r="E58" s="3" t="inlineStr">
        <is>
          <t>Sale: customer=unknown, product=Apple Watch, amount=22999, phone=9927982963</t>
        </is>
      </c>
      <c r="F58" s="3" t="inlineStr"/>
      <c r="G58" s="3" t="inlineStr"/>
      <c r="H58" s="4" t="n">
        <v>0</v>
      </c>
      <c r="I58" s="3" t="inlineStr"/>
      <c r="J58" s="3" t="inlineStr">
        <is>
          <t>failed</t>
        </is>
      </c>
      <c r="K58" s="5">
        <f>IF(A58="","",DATE(YEAR(A58),MONTH(A58),1))</f>
        <v/>
      </c>
      <c r="L58" s="6">
        <f>IF(F58&lt;&gt;"",LOWER(TRIM(F58)),D58)</f>
        <v/>
      </c>
      <c r="M58" s="6">
        <f>IF(L58="","",IF(COUNTIF($L$2:L58,L58)=1,1,0))</f>
        <v/>
      </c>
    </row>
    <row r="59">
      <c r="A59" s="2" t="n">
        <v>46046.41666666666</v>
      </c>
      <c r="B59" s="3" t="inlineStr">
        <is>
          <t>Dubai Retail Sales</t>
        </is>
      </c>
      <c r="C59" s="3" t="inlineStr">
        <is>
          <t>Noah</t>
        </is>
      </c>
      <c r="D59" s="3" t="inlineStr">
        <is>
          <t>wamid-0058</t>
        </is>
      </c>
      <c r="E59" s="3" t="inlineStr">
        <is>
          <t>Sale: customer=Yusuf Ahmed, product=MacBook Air, amount=84999, phone=9857704655</t>
        </is>
      </c>
      <c r="F59" s="3" t="inlineStr">
        <is>
          <t>Yusuf Ahmed</t>
        </is>
      </c>
      <c r="G59" s="3" t="inlineStr">
        <is>
          <t>MacBook Air</t>
        </is>
      </c>
      <c r="H59" s="4" t="n">
        <v>84999</v>
      </c>
      <c r="I59" s="3" t="inlineStr">
        <is>
          <t>9857704655</t>
        </is>
      </c>
      <c r="J59" s="3" t="inlineStr">
        <is>
          <t>parsed</t>
        </is>
      </c>
      <c r="K59" s="5">
        <f>IF(A59="","",DATE(YEAR(A59),MONTH(A59),1))</f>
        <v/>
      </c>
      <c r="L59" s="6">
        <f>IF(F59&lt;&gt;"",LOWER(TRIM(F59)),D59)</f>
        <v/>
      </c>
      <c r="M59" s="6">
        <f>IF(L59="","",IF(COUNTIF($L$2:L59,L59)=1,1,0))</f>
        <v/>
      </c>
    </row>
    <row r="60">
      <c r="A60" s="2" t="n">
        <v>46049.41666666666</v>
      </c>
      <c r="B60" s="3" t="inlineStr">
        <is>
          <t>Dubai Retail Sales</t>
        </is>
      </c>
      <c r="C60" s="3" t="inlineStr">
        <is>
          <t>Rahul</t>
        </is>
      </c>
      <c r="D60" s="3" t="inlineStr">
        <is>
          <t>wamid-0059</t>
        </is>
      </c>
      <c r="E60" s="3" t="inlineStr">
        <is>
          <t>Sale: customer=unknown, product=iPad Air, amount=32999, phone=9841976666</t>
        </is>
      </c>
      <c r="F60" s="3" t="inlineStr"/>
      <c r="G60" s="3" t="inlineStr"/>
      <c r="H60" s="4" t="n">
        <v>0</v>
      </c>
      <c r="I60" s="3" t="inlineStr"/>
      <c r="J60" s="3" t="inlineStr">
        <is>
          <t>failed</t>
        </is>
      </c>
      <c r="K60" s="5">
        <f>IF(A60="","",DATE(YEAR(A60),MONTH(A60),1))</f>
        <v/>
      </c>
      <c r="L60" s="6">
        <f>IF(F60&lt;&gt;"",LOWER(TRIM(F60)),D60)</f>
        <v/>
      </c>
      <c r="M60" s="6">
        <f>IF(L60="","",IF(COUNTIF($L$2:L60,L60)=1,1,0))</f>
        <v/>
      </c>
    </row>
    <row r="61">
      <c r="A61" s="2" t="n">
        <v>46051.41666666666</v>
      </c>
      <c r="B61" s="3" t="inlineStr">
        <is>
          <t>Dubai Retail Sales</t>
        </is>
      </c>
      <c r="C61" s="3" t="inlineStr">
        <is>
          <t>Rahul</t>
        </is>
      </c>
      <c r="D61" s="3" t="inlineStr">
        <is>
          <t>wamid-0060</t>
        </is>
      </c>
      <c r="E61" s="3" t="inlineStr">
        <is>
          <t>Sale: customer=Ali Khan, product=iPad Air, amount=32999, phone=9561479973</t>
        </is>
      </c>
      <c r="F61" s="3" t="inlineStr">
        <is>
          <t>Ali Khan</t>
        </is>
      </c>
      <c r="G61" s="3" t="inlineStr">
        <is>
          <t>iPad Air</t>
        </is>
      </c>
      <c r="H61" s="4" t="n">
        <v>32999</v>
      </c>
      <c r="I61" s="3" t="inlineStr">
        <is>
          <t>9561479973</t>
        </is>
      </c>
      <c r="J61" s="3" t="inlineStr">
        <is>
          <t>parsed</t>
        </is>
      </c>
      <c r="K61" s="5">
        <f>IF(A61="","",DATE(YEAR(A61),MONTH(A61),1))</f>
        <v/>
      </c>
      <c r="L61" s="6">
        <f>IF(F61&lt;&gt;"",LOWER(TRIM(F61)),D61)</f>
        <v/>
      </c>
      <c r="M61" s="6">
        <f>IF(L61="","",IF(COUNTIF($L$2:L61,L61)=1,1,0))</f>
        <v/>
      </c>
    </row>
    <row r="62">
      <c r="A62" s="2" t="n">
        <v>46052.41666666666</v>
      </c>
      <c r="B62" s="3" t="inlineStr">
        <is>
          <t>Dubai Retail Sales</t>
        </is>
      </c>
      <c r="C62" s="3" t="inlineStr">
        <is>
          <t>Rahul</t>
        </is>
      </c>
      <c r="D62" s="3" t="inlineStr">
        <is>
          <t>wamid-0061</t>
        </is>
      </c>
      <c r="E62" s="3" t="inlineStr">
        <is>
          <t>Sale: customer=John Doe, product=iPhone 15, amount=49999, phone=9484194737</t>
        </is>
      </c>
      <c r="F62" s="3" t="inlineStr">
        <is>
          <t>John Doe</t>
        </is>
      </c>
      <c r="G62" s="3" t="inlineStr">
        <is>
          <t>iPhone 15</t>
        </is>
      </c>
      <c r="H62" s="4" t="n">
        <v>49999</v>
      </c>
      <c r="I62" s="3" t="inlineStr">
        <is>
          <t>9484194737</t>
        </is>
      </c>
      <c r="J62" s="3" t="inlineStr">
        <is>
          <t>parsed</t>
        </is>
      </c>
      <c r="K62" s="5">
        <f>IF(A62="","",DATE(YEAR(A62),MONTH(A62),1))</f>
        <v/>
      </c>
      <c r="L62" s="6">
        <f>IF(F62&lt;&gt;"",LOWER(TRIM(F62)),D62)</f>
        <v/>
      </c>
      <c r="M62" s="6">
        <f>IF(L62="","",IF(COUNTIF($L$2:L62,L62)=1,1,0))</f>
        <v/>
      </c>
    </row>
    <row r="63">
      <c r="A63" s="2" t="n">
        <v>46055.41666666666</v>
      </c>
      <c r="B63" s="3" t="inlineStr">
        <is>
          <t>Dubai Retail Sales</t>
        </is>
      </c>
      <c r="C63" s="3" t="inlineStr">
        <is>
          <t>Priya</t>
        </is>
      </c>
      <c r="D63" s="3" t="inlineStr">
        <is>
          <t>wamid-0062</t>
        </is>
      </c>
      <c r="E63" s="3" t="inlineStr">
        <is>
          <t>Sale: customer=Yusuf Ahmed, product=MacBook Air, amount=82499, phone=9536344399</t>
        </is>
      </c>
      <c r="F63" s="3" t="inlineStr">
        <is>
          <t>Yusuf Ahmed</t>
        </is>
      </c>
      <c r="G63" s="3" t="inlineStr">
        <is>
          <t>MacBook Air</t>
        </is>
      </c>
      <c r="H63" s="4" t="n">
        <v>82499</v>
      </c>
      <c r="I63" s="3" t="inlineStr">
        <is>
          <t>9536344399</t>
        </is>
      </c>
      <c r="J63" s="3" t="inlineStr">
        <is>
          <t>parsed</t>
        </is>
      </c>
      <c r="K63" s="5">
        <f>IF(A63="","",DATE(YEAR(A63),MONTH(A63),1))</f>
        <v/>
      </c>
      <c r="L63" s="6">
        <f>IF(F63&lt;&gt;"",LOWER(TRIM(F63)),D63)</f>
        <v/>
      </c>
      <c r="M63" s="6">
        <f>IF(L63="","",IF(COUNTIF($L$2:L63,L63)=1,1,0))</f>
        <v/>
      </c>
    </row>
    <row r="64">
      <c r="A64" s="2" t="n">
        <v>46057.41666666666</v>
      </c>
      <c r="B64" s="3" t="inlineStr">
        <is>
          <t>Dubai Retail Sales</t>
        </is>
      </c>
      <c r="C64" s="3" t="inlineStr">
        <is>
          <t>Aisha</t>
        </is>
      </c>
      <c r="D64" s="3" t="inlineStr">
        <is>
          <t>wamid-0063</t>
        </is>
      </c>
      <c r="E64" s="3" t="inlineStr">
        <is>
          <t>Sale: customer=Ali Khan, product=MacBook Air, amount=84999, phone=9542697755</t>
        </is>
      </c>
      <c r="F64" s="3" t="inlineStr">
        <is>
          <t>Ali Khan</t>
        </is>
      </c>
      <c r="G64" s="3" t="inlineStr">
        <is>
          <t>MacBook Air</t>
        </is>
      </c>
      <c r="H64" s="4" t="n">
        <v>84999</v>
      </c>
      <c r="I64" s="3" t="inlineStr">
        <is>
          <t>9542697755</t>
        </is>
      </c>
      <c r="J64" s="3" t="inlineStr">
        <is>
          <t>parsed</t>
        </is>
      </c>
      <c r="K64" s="5">
        <f>IF(A64="","",DATE(YEAR(A64),MONTH(A64),1))</f>
        <v/>
      </c>
      <c r="L64" s="6">
        <f>IF(F64&lt;&gt;"",LOWER(TRIM(F64)),D64)</f>
        <v/>
      </c>
      <c r="M64" s="6">
        <f>IF(L64="","",IF(COUNTIF($L$2:L64,L64)=1,1,0))</f>
        <v/>
      </c>
    </row>
    <row r="65">
      <c r="A65" s="2" t="n">
        <v>46058.41666666666</v>
      </c>
      <c r="B65" s="3" t="inlineStr">
        <is>
          <t>Dubai Retail Sales</t>
        </is>
      </c>
      <c r="C65" s="3" t="inlineStr">
        <is>
          <t>Rahul</t>
        </is>
      </c>
      <c r="D65" s="3" t="inlineStr">
        <is>
          <t>wamid-0064</t>
        </is>
      </c>
      <c r="E65" s="3" t="inlineStr">
        <is>
          <t>Sale: customer=Arjun Mehta, product=Galaxy S24, amount=44799, phone=9970535450</t>
        </is>
      </c>
      <c r="F65" s="3" t="inlineStr">
        <is>
          <t>Arjun Mehta</t>
        </is>
      </c>
      <c r="G65" s="3" t="inlineStr">
        <is>
          <t>Galaxy S24</t>
        </is>
      </c>
      <c r="H65" s="4" t="n">
        <v>44799</v>
      </c>
      <c r="I65" s="3" t="inlineStr">
        <is>
          <t>9970535450</t>
        </is>
      </c>
      <c r="J65" s="3" t="inlineStr">
        <is>
          <t>parsed</t>
        </is>
      </c>
      <c r="K65" s="5">
        <f>IF(A65="","",DATE(YEAR(A65),MONTH(A65),1))</f>
        <v/>
      </c>
      <c r="L65" s="6">
        <f>IF(F65&lt;&gt;"",LOWER(TRIM(F65)),D65)</f>
        <v/>
      </c>
      <c r="M65" s="6">
        <f>IF(L65="","",IF(COUNTIF($L$2:L65,L65)=1,1,0))</f>
        <v/>
      </c>
    </row>
    <row r="66">
      <c r="A66" s="2" t="n">
        <v>46061.41666666666</v>
      </c>
      <c r="B66" s="3" t="inlineStr">
        <is>
          <t>Dubai Retail Sales</t>
        </is>
      </c>
      <c r="C66" s="3" t="inlineStr">
        <is>
          <t>Rahul</t>
        </is>
      </c>
      <c r="D66" s="3" t="inlineStr">
        <is>
          <t>wamid-0065</t>
        </is>
      </c>
      <c r="E66" s="3" t="inlineStr">
        <is>
          <t>Sale: customer=John Doe, product=AirPods Pro, amount=16499, phone=9605399561</t>
        </is>
      </c>
      <c r="F66" s="3" t="inlineStr">
        <is>
          <t>John Doe</t>
        </is>
      </c>
      <c r="G66" s="3" t="inlineStr">
        <is>
          <t>AirPods Pro</t>
        </is>
      </c>
      <c r="H66" s="4" t="n">
        <v>16499</v>
      </c>
      <c r="I66" s="3" t="inlineStr">
        <is>
          <t>9605399561</t>
        </is>
      </c>
      <c r="J66" s="3" t="inlineStr">
        <is>
          <t>parsed</t>
        </is>
      </c>
      <c r="K66" s="5">
        <f>IF(A66="","",DATE(YEAR(A66),MONTH(A66),1))</f>
        <v/>
      </c>
      <c r="L66" s="6">
        <f>IF(F66&lt;&gt;"",LOWER(TRIM(F66)),D66)</f>
        <v/>
      </c>
      <c r="M66" s="6">
        <f>IF(L66="","",IF(COUNTIF($L$2:L66,L66)=1,1,0))</f>
        <v/>
      </c>
    </row>
    <row r="67">
      <c r="A67" s="2" t="n">
        <v>46062.41666666666</v>
      </c>
      <c r="B67" s="3" t="inlineStr">
        <is>
          <t>Dubai Retail Sales</t>
        </is>
      </c>
      <c r="C67" s="3" t="inlineStr">
        <is>
          <t>Aisha</t>
        </is>
      </c>
      <c r="D67" s="3" t="inlineStr">
        <is>
          <t>wamid-0066</t>
        </is>
      </c>
      <c r="E67" s="3" t="inlineStr">
        <is>
          <t>Sale: customer=Sara James, product=Galaxy S24, amount=45999, phone=9339362341</t>
        </is>
      </c>
      <c r="F67" s="3" t="inlineStr">
        <is>
          <t>Sara James</t>
        </is>
      </c>
      <c r="G67" s="3" t="inlineStr">
        <is>
          <t>Galaxy S24</t>
        </is>
      </c>
      <c r="H67" s="4" t="n">
        <v>45999</v>
      </c>
      <c r="I67" s="3" t="inlineStr">
        <is>
          <t>9339362341</t>
        </is>
      </c>
      <c r="J67" s="3" t="inlineStr">
        <is>
          <t>parsed</t>
        </is>
      </c>
      <c r="K67" s="5">
        <f>IF(A67="","",DATE(YEAR(A67),MONTH(A67),1))</f>
        <v/>
      </c>
      <c r="L67" s="6">
        <f>IF(F67&lt;&gt;"",LOWER(TRIM(F67)),D67)</f>
        <v/>
      </c>
      <c r="M67" s="6">
        <f>IF(L67="","",IF(COUNTIF($L$2:L67,L67)=1,1,0))</f>
        <v/>
      </c>
    </row>
    <row r="68">
      <c r="A68" s="2" t="n">
        <v>46065.41666666666</v>
      </c>
      <c r="B68" s="3" t="inlineStr">
        <is>
          <t>Dubai Retail Sales</t>
        </is>
      </c>
      <c r="C68" s="3" t="inlineStr">
        <is>
          <t>Fatima</t>
        </is>
      </c>
      <c r="D68" s="3" t="inlineStr">
        <is>
          <t>wamid-0067</t>
        </is>
      </c>
      <c r="E68" s="3" t="inlineStr">
        <is>
          <t>Sale: customer=Meera Shah, product=MacBook Air, amount=83799, phone=9930353157</t>
        </is>
      </c>
      <c r="F68" s="3" t="inlineStr">
        <is>
          <t>Meera Shah</t>
        </is>
      </c>
      <c r="G68" s="3" t="inlineStr">
        <is>
          <t>MacBook Air</t>
        </is>
      </c>
      <c r="H68" s="4" t="n">
        <v>83799</v>
      </c>
      <c r="I68" s="3" t="inlineStr">
        <is>
          <t>9930353157</t>
        </is>
      </c>
      <c r="J68" s="3" t="inlineStr">
        <is>
          <t>parsed</t>
        </is>
      </c>
      <c r="K68" s="5">
        <f>IF(A68="","",DATE(YEAR(A68),MONTH(A68),1))</f>
        <v/>
      </c>
      <c r="L68" s="6">
        <f>IF(F68&lt;&gt;"",LOWER(TRIM(F68)),D68)</f>
        <v/>
      </c>
      <c r="M68" s="6">
        <f>IF(L68="","",IF(COUNTIF($L$2:L68,L68)=1,1,0))</f>
        <v/>
      </c>
    </row>
    <row r="69">
      <c r="A69" s="2" t="n">
        <v>46066.41666666666</v>
      </c>
      <c r="B69" s="3" t="inlineStr">
        <is>
          <t>Dubai Retail Sales</t>
        </is>
      </c>
      <c r="C69" s="3" t="inlineStr">
        <is>
          <t>Aisha</t>
        </is>
      </c>
      <c r="D69" s="3" t="inlineStr">
        <is>
          <t>wamid-0068</t>
        </is>
      </c>
      <c r="E69" s="3" t="inlineStr">
        <is>
          <t>Sale: customer=Yusuf Ahmed, product=AirPods Pro, amount=16499, phone=9455569462</t>
        </is>
      </c>
      <c r="F69" s="3" t="inlineStr">
        <is>
          <t>Yusuf Ahmed</t>
        </is>
      </c>
      <c r="G69" s="3" t="inlineStr">
        <is>
          <t>AirPods Pro</t>
        </is>
      </c>
      <c r="H69" s="4" t="n">
        <v>16499</v>
      </c>
      <c r="I69" s="3" t="inlineStr">
        <is>
          <t>9455569462</t>
        </is>
      </c>
      <c r="J69" s="3" t="inlineStr">
        <is>
          <t>parsed</t>
        </is>
      </c>
      <c r="K69" s="5">
        <f>IF(A69="","",DATE(YEAR(A69),MONTH(A69),1))</f>
        <v/>
      </c>
      <c r="L69" s="6">
        <f>IF(F69&lt;&gt;"",LOWER(TRIM(F69)),D69)</f>
        <v/>
      </c>
      <c r="M69" s="6">
        <f>IF(L69="","",IF(COUNTIF($L$2:L69,L69)=1,1,0))</f>
        <v/>
      </c>
    </row>
    <row r="70">
      <c r="A70" s="2" t="n">
        <v>46068.41666666666</v>
      </c>
      <c r="B70" s="3" t="inlineStr">
        <is>
          <t>Dubai Retail Sales</t>
        </is>
      </c>
      <c r="C70" s="3" t="inlineStr">
        <is>
          <t>Aisha</t>
        </is>
      </c>
      <c r="D70" s="3" t="inlineStr">
        <is>
          <t>wamid-0069</t>
        </is>
      </c>
      <c r="E70" s="3" t="inlineStr">
        <is>
          <t>Sale: customer=Rohan Patel, product=iPhone 15, amount=49999, phone=9141078352</t>
        </is>
      </c>
      <c r="F70" s="3" t="inlineStr">
        <is>
          <t>Rohan Patel</t>
        </is>
      </c>
      <c r="G70" s="3" t="inlineStr">
        <is>
          <t>iPhone 15</t>
        </is>
      </c>
      <c r="H70" s="4" t="n">
        <v>49999</v>
      </c>
      <c r="I70" s="3" t="inlineStr">
        <is>
          <t>9141078352</t>
        </is>
      </c>
      <c r="J70" s="3" t="inlineStr">
        <is>
          <t>parsed</t>
        </is>
      </c>
      <c r="K70" s="5">
        <f>IF(A70="","",DATE(YEAR(A70),MONTH(A70),1))</f>
        <v/>
      </c>
      <c r="L70" s="6">
        <f>IF(F70&lt;&gt;"",LOWER(TRIM(F70)),D70)</f>
        <v/>
      </c>
      <c r="M70" s="6">
        <f>IF(L70="","",IF(COUNTIF($L$2:L70,L70)=1,1,0))</f>
        <v/>
      </c>
    </row>
    <row r="71">
      <c r="A71" s="2" t="n">
        <v>46070.41666666666</v>
      </c>
      <c r="B71" s="3" t="inlineStr">
        <is>
          <t>Dubai Retail Sales</t>
        </is>
      </c>
      <c r="C71" s="3" t="inlineStr">
        <is>
          <t>Priya</t>
        </is>
      </c>
      <c r="D71" s="3" t="inlineStr">
        <is>
          <t>wamid-0070</t>
        </is>
      </c>
      <c r="E71" s="3" t="inlineStr">
        <is>
          <t>Sale: customer=Nora Salem, product=iPad Air, amount=32999, phone=9568574364</t>
        </is>
      </c>
      <c r="F71" s="3" t="inlineStr">
        <is>
          <t>Nora Salem</t>
        </is>
      </c>
      <c r="G71" s="3" t="inlineStr">
        <is>
          <t>iPad Air</t>
        </is>
      </c>
      <c r="H71" s="4" t="n">
        <v>32999</v>
      </c>
      <c r="I71" s="3" t="inlineStr">
        <is>
          <t>9568574364</t>
        </is>
      </c>
      <c r="J71" s="3" t="inlineStr">
        <is>
          <t>parsed</t>
        </is>
      </c>
      <c r="K71" s="5">
        <f>IF(A71="","",DATE(YEAR(A71),MONTH(A71),1))</f>
        <v/>
      </c>
      <c r="L71" s="6">
        <f>IF(F71&lt;&gt;"",LOWER(TRIM(F71)),D71)</f>
        <v/>
      </c>
      <c r="M71" s="6">
        <f>IF(L71="","",IF(COUNTIF($L$2:L71,L71)=1,1,0))</f>
        <v/>
      </c>
    </row>
    <row r="72">
      <c r="A72" s="2" t="n">
        <v>46073.41666666666</v>
      </c>
      <c r="B72" s="3" t="inlineStr">
        <is>
          <t>Dubai Retail Sales</t>
        </is>
      </c>
      <c r="C72" s="3" t="inlineStr">
        <is>
          <t>Aisha</t>
        </is>
      </c>
      <c r="D72" s="3" t="inlineStr">
        <is>
          <t>wamid-0071</t>
        </is>
      </c>
      <c r="E72" s="3" t="inlineStr">
        <is>
          <t>Sale: customer=Sara James, product=iPad Air, amount=31799, phone=9373506211</t>
        </is>
      </c>
      <c r="F72" s="3" t="inlineStr">
        <is>
          <t>Sara James</t>
        </is>
      </c>
      <c r="G72" s="3" t="inlineStr">
        <is>
          <t>iPad Air</t>
        </is>
      </c>
      <c r="H72" s="4" t="n">
        <v>31799</v>
      </c>
      <c r="I72" s="3" t="inlineStr">
        <is>
          <t>9373506211</t>
        </is>
      </c>
      <c r="J72" s="3" t="inlineStr">
        <is>
          <t>parsed</t>
        </is>
      </c>
      <c r="K72" s="5">
        <f>IF(A72="","",DATE(YEAR(A72),MONTH(A72),1))</f>
        <v/>
      </c>
      <c r="L72" s="6">
        <f>IF(F72&lt;&gt;"",LOWER(TRIM(F72)),D72)</f>
        <v/>
      </c>
      <c r="M72" s="6">
        <f>IF(L72="","",IF(COUNTIF($L$2:L72,L72)=1,1,0))</f>
        <v/>
      </c>
    </row>
    <row r="73">
      <c r="A73" s="2" t="n">
        <v>46074.41666666666</v>
      </c>
      <c r="B73" s="3" t="inlineStr">
        <is>
          <t>Dubai Retail Sales</t>
        </is>
      </c>
      <c r="C73" s="3" t="inlineStr">
        <is>
          <t>Omar</t>
        </is>
      </c>
      <c r="D73" s="3" t="inlineStr">
        <is>
          <t>wamid-0072</t>
        </is>
      </c>
      <c r="E73" s="3" t="inlineStr">
        <is>
          <t>Sale: customer=Yusuf Ahmed, product=MacBook Air, amount=84999, phone=9837507241</t>
        </is>
      </c>
      <c r="F73" s="3" t="inlineStr">
        <is>
          <t>Yusuf Ahmed</t>
        </is>
      </c>
      <c r="G73" s="3" t="inlineStr">
        <is>
          <t>MacBook Air</t>
        </is>
      </c>
      <c r="H73" s="4" t="n">
        <v>84999</v>
      </c>
      <c r="I73" s="3" t="inlineStr">
        <is>
          <t>9837507241</t>
        </is>
      </c>
      <c r="J73" s="3" t="inlineStr">
        <is>
          <t>parsed</t>
        </is>
      </c>
      <c r="K73" s="5">
        <f>IF(A73="","",DATE(YEAR(A73),MONTH(A73),1))</f>
        <v/>
      </c>
      <c r="L73" s="6">
        <f>IF(F73&lt;&gt;"",LOWER(TRIM(F73)),D73)</f>
        <v/>
      </c>
      <c r="M73" s="6">
        <f>IF(L73="","",IF(COUNTIF($L$2:L73,L73)=1,1,0))</f>
        <v/>
      </c>
    </row>
    <row r="74">
      <c r="A74" s="2" t="n">
        <v>46077.41666666666</v>
      </c>
      <c r="B74" s="3" t="inlineStr">
        <is>
          <t>Dubai Retail Sales</t>
        </is>
      </c>
      <c r="C74" s="3" t="inlineStr">
        <is>
          <t>Priya</t>
        </is>
      </c>
      <c r="D74" s="3" t="inlineStr">
        <is>
          <t>wamid-0073</t>
        </is>
      </c>
      <c r="E74" s="3" t="inlineStr">
        <is>
          <t>Sale: customer=Leah Thomas, product=MacBook Air, amount=84999, phone=9454549587</t>
        </is>
      </c>
      <c r="F74" s="3" t="inlineStr">
        <is>
          <t>Leah Thomas</t>
        </is>
      </c>
      <c r="G74" s="3" t="inlineStr">
        <is>
          <t>MacBook Air</t>
        </is>
      </c>
      <c r="H74" s="4" t="n">
        <v>84999</v>
      </c>
      <c r="I74" s="3" t="inlineStr">
        <is>
          <t>9454549587</t>
        </is>
      </c>
      <c r="J74" s="3" t="inlineStr">
        <is>
          <t>parsed</t>
        </is>
      </c>
      <c r="K74" s="5">
        <f>IF(A74="","",DATE(YEAR(A74),MONTH(A74),1))</f>
        <v/>
      </c>
      <c r="L74" s="6">
        <f>IF(F74&lt;&gt;"",LOWER(TRIM(F74)),D74)</f>
        <v/>
      </c>
      <c r="M74" s="6">
        <f>IF(L74="","",IF(COUNTIF($L$2:L74,L74)=1,1,0))</f>
        <v/>
      </c>
    </row>
    <row r="75">
      <c r="A75" s="2" t="n">
        <v>46079.41666666666</v>
      </c>
      <c r="B75" s="3" t="inlineStr">
        <is>
          <t>Dubai Retail Sales</t>
        </is>
      </c>
      <c r="C75" s="3" t="inlineStr">
        <is>
          <t>Omar</t>
        </is>
      </c>
      <c r="D75" s="3" t="inlineStr">
        <is>
          <t>wamid-0074</t>
        </is>
      </c>
      <c r="E75" s="3" t="inlineStr">
        <is>
          <t>Sale: customer=Yusuf Ahmed, product=AirPods Pro, amount=16499, phone=9432091877</t>
        </is>
      </c>
      <c r="F75" s="3" t="inlineStr">
        <is>
          <t>Yusuf Ahmed</t>
        </is>
      </c>
      <c r="G75" s="3" t="inlineStr">
        <is>
          <t>AirPods Pro</t>
        </is>
      </c>
      <c r="H75" s="4" t="n">
        <v>16499</v>
      </c>
      <c r="I75" s="3" t="inlineStr">
        <is>
          <t>9432091877</t>
        </is>
      </c>
      <c r="J75" s="3" t="inlineStr">
        <is>
          <t>parsed</t>
        </is>
      </c>
      <c r="K75" s="5">
        <f>IF(A75="","",DATE(YEAR(A75),MONTH(A75),1))</f>
        <v/>
      </c>
      <c r="L75" s="6">
        <f>IF(F75&lt;&gt;"",LOWER(TRIM(F75)),D75)</f>
        <v/>
      </c>
      <c r="M75" s="6">
        <f>IF(L75="","",IF(COUNTIF($L$2:L75,L75)=1,1,0))</f>
        <v/>
      </c>
    </row>
    <row r="76">
      <c r="A76" s="2" t="n">
        <v>46080.41666666666</v>
      </c>
      <c r="B76" s="3" t="inlineStr">
        <is>
          <t>Dubai Retail Sales</t>
        </is>
      </c>
      <c r="C76" s="3" t="inlineStr">
        <is>
          <t>Rahul</t>
        </is>
      </c>
      <c r="D76" s="3" t="inlineStr">
        <is>
          <t>wamid-0075</t>
        </is>
      </c>
      <c r="E76" s="3" t="inlineStr">
        <is>
          <t>Sale: customer=Yusuf Ahmed, product=Apple Watch, amount=21799, phone=9236674237</t>
        </is>
      </c>
      <c r="F76" s="3" t="inlineStr">
        <is>
          <t>Yusuf Ahmed</t>
        </is>
      </c>
      <c r="G76" s="3" t="inlineStr">
        <is>
          <t>Apple Watch</t>
        </is>
      </c>
      <c r="H76" s="4" t="n">
        <v>21799</v>
      </c>
      <c r="I76" s="3" t="inlineStr">
        <is>
          <t>9236674237</t>
        </is>
      </c>
      <c r="J76" s="3" t="inlineStr">
        <is>
          <t>parsed</t>
        </is>
      </c>
      <c r="K76" s="5">
        <f>IF(A76="","",DATE(YEAR(A76),MONTH(A76),1))</f>
        <v/>
      </c>
      <c r="L76" s="6">
        <f>IF(F76&lt;&gt;"",LOWER(TRIM(F76)),D76)</f>
        <v/>
      </c>
      <c r="M76" s="6">
        <f>IF(L76="","",IF(COUNTIF($L$2:L76,L76)=1,1,0))</f>
        <v/>
      </c>
    </row>
    <row r="77">
      <c r="A77" s="2" t="n">
        <v>46082.41666666666</v>
      </c>
      <c r="B77" s="3" t="inlineStr">
        <is>
          <t>Dubai Retail Sales</t>
        </is>
      </c>
      <c r="C77" s="3" t="inlineStr">
        <is>
          <t>Priya</t>
        </is>
      </c>
      <c r="D77" s="3" t="inlineStr">
        <is>
          <t>wamid-0076</t>
        </is>
      </c>
      <c r="E77" s="3" t="inlineStr">
        <is>
          <t>Sale: customer=Ali Khan, product=Apple Watch, amount=20499, phone=9760904107</t>
        </is>
      </c>
      <c r="F77" s="3" t="inlineStr">
        <is>
          <t>Ali Khan</t>
        </is>
      </c>
      <c r="G77" s="3" t="inlineStr">
        <is>
          <t>Apple Watch</t>
        </is>
      </c>
      <c r="H77" s="4" t="n">
        <v>20499</v>
      </c>
      <c r="I77" s="3" t="inlineStr">
        <is>
          <t>9760904107</t>
        </is>
      </c>
      <c r="J77" s="3" t="inlineStr">
        <is>
          <t>parsed</t>
        </is>
      </c>
      <c r="K77" s="5">
        <f>IF(A77="","",DATE(YEAR(A77),MONTH(A77),1))</f>
        <v/>
      </c>
      <c r="L77" s="6">
        <f>IF(F77&lt;&gt;"",LOWER(TRIM(F77)),D77)</f>
        <v/>
      </c>
      <c r="M77" s="6">
        <f>IF(L77="","",IF(COUNTIF($L$2:L77,L77)=1,1,0))</f>
        <v/>
      </c>
    </row>
    <row r="78">
      <c r="A78" s="2" t="n">
        <v>46084.41666666666</v>
      </c>
      <c r="B78" s="3" t="inlineStr">
        <is>
          <t>Dubai Retail Sales</t>
        </is>
      </c>
      <c r="C78" s="3" t="inlineStr">
        <is>
          <t>Rahul</t>
        </is>
      </c>
      <c r="D78" s="3" t="inlineStr">
        <is>
          <t>wamid-0077</t>
        </is>
      </c>
      <c r="E78" s="3" t="inlineStr">
        <is>
          <t>Sale: customer=Rohan Patel, product=AirPods Pro, amount=17199, phone=9408071259</t>
        </is>
      </c>
      <c r="F78" s="3" t="inlineStr">
        <is>
          <t>Rohan Patel</t>
        </is>
      </c>
      <c r="G78" s="3" t="inlineStr">
        <is>
          <t>AirPods Pro</t>
        </is>
      </c>
      <c r="H78" s="4" t="n">
        <v>17199</v>
      </c>
      <c r="I78" s="3" t="inlineStr">
        <is>
          <t>9408071259</t>
        </is>
      </c>
      <c r="J78" s="3" t="inlineStr">
        <is>
          <t>parsed</t>
        </is>
      </c>
      <c r="K78" s="5">
        <f>IF(A78="","",DATE(YEAR(A78),MONTH(A78),1))</f>
        <v/>
      </c>
      <c r="L78" s="6">
        <f>IF(F78&lt;&gt;"",LOWER(TRIM(F78)),D78)</f>
        <v/>
      </c>
      <c r="M78" s="6">
        <f>IF(L78="","",IF(COUNTIF($L$2:L78,L78)=1,1,0))</f>
        <v/>
      </c>
    </row>
    <row r="79">
      <c r="A79" s="2" t="n">
        <v>46086.41666666666</v>
      </c>
      <c r="B79" s="3" t="inlineStr">
        <is>
          <t>Dubai Retail Sales</t>
        </is>
      </c>
      <c r="C79" s="3" t="inlineStr">
        <is>
          <t>Priya</t>
        </is>
      </c>
      <c r="D79" s="3" t="inlineStr">
        <is>
          <t>wamid-0078</t>
        </is>
      </c>
      <c r="E79" s="3" t="inlineStr">
        <is>
          <t>Sale: customer=Leah Thomas, product=Apple Watch, amount=21799, phone=9329460134</t>
        </is>
      </c>
      <c r="F79" s="3" t="inlineStr">
        <is>
          <t>Leah Thomas</t>
        </is>
      </c>
      <c r="G79" s="3" t="inlineStr">
        <is>
          <t>Apple Watch</t>
        </is>
      </c>
      <c r="H79" s="4" t="n">
        <v>21799</v>
      </c>
      <c r="I79" s="3" t="inlineStr">
        <is>
          <t>9329460134</t>
        </is>
      </c>
      <c r="J79" s="3" t="inlineStr">
        <is>
          <t>parsed</t>
        </is>
      </c>
      <c r="K79" s="5">
        <f>IF(A79="","",DATE(YEAR(A79),MONTH(A79),1))</f>
        <v/>
      </c>
      <c r="L79" s="6">
        <f>IF(F79&lt;&gt;"",LOWER(TRIM(F79)),D79)</f>
        <v/>
      </c>
      <c r="M79" s="6">
        <f>IF(L79="","",IF(COUNTIF($L$2:L79,L79)=1,1,0))</f>
        <v/>
      </c>
    </row>
    <row r="80">
      <c r="A80" s="2" t="n">
        <v>46089.41666666666</v>
      </c>
      <c r="B80" s="3" t="inlineStr">
        <is>
          <t>Dubai Retail Sales</t>
        </is>
      </c>
      <c r="C80" s="3" t="inlineStr">
        <is>
          <t>Omar</t>
        </is>
      </c>
      <c r="D80" s="3" t="inlineStr">
        <is>
          <t>wamid-0079</t>
        </is>
      </c>
      <c r="E80" s="3" t="inlineStr">
        <is>
          <t>Sale: customer=Yusuf Ahmed, product=Apple Watch, amount=20499, phone=9812807629</t>
        </is>
      </c>
      <c r="F80" s="3" t="inlineStr">
        <is>
          <t>Yusuf Ahmed</t>
        </is>
      </c>
      <c r="G80" s="3" t="inlineStr">
        <is>
          <t>Apple Watch</t>
        </is>
      </c>
      <c r="H80" s="4" t="n">
        <v>20499</v>
      </c>
      <c r="I80" s="3" t="inlineStr">
        <is>
          <t>9812807629</t>
        </is>
      </c>
      <c r="J80" s="3" t="inlineStr">
        <is>
          <t>parsed</t>
        </is>
      </c>
      <c r="K80" s="5">
        <f>IF(A80="","",DATE(YEAR(A80),MONTH(A80),1))</f>
        <v/>
      </c>
      <c r="L80" s="6">
        <f>IF(F80&lt;&gt;"",LOWER(TRIM(F80)),D80)</f>
        <v/>
      </c>
      <c r="M80" s="6">
        <f>IF(L80="","",IF(COUNTIF($L$2:L80,L80)=1,1,0))</f>
        <v/>
      </c>
    </row>
    <row r="81">
      <c r="A81" s="2" t="n">
        <v>46090.41666666666</v>
      </c>
      <c r="B81" s="3" t="inlineStr">
        <is>
          <t>Dubai Retail Sales</t>
        </is>
      </c>
      <c r="C81" s="3" t="inlineStr">
        <is>
          <t>Fatima</t>
        </is>
      </c>
      <c r="D81" s="3" t="inlineStr">
        <is>
          <t>wamid-0080</t>
        </is>
      </c>
      <c r="E81" s="3" t="inlineStr">
        <is>
          <t>Sale: customer=Sara James, product=iPad Air, amount=32999, phone=9822408848</t>
        </is>
      </c>
      <c r="F81" s="3" t="inlineStr">
        <is>
          <t>Sara James</t>
        </is>
      </c>
      <c r="G81" s="3" t="inlineStr">
        <is>
          <t>iPad Air</t>
        </is>
      </c>
      <c r="H81" s="4" t="n">
        <v>32999</v>
      </c>
      <c r="I81" s="3" t="inlineStr">
        <is>
          <t>9822408848</t>
        </is>
      </c>
      <c r="J81" s="3" t="inlineStr">
        <is>
          <t>parsed</t>
        </is>
      </c>
      <c r="K81" s="5">
        <f>IF(A81="","",DATE(YEAR(A81),MONTH(A81),1))</f>
        <v/>
      </c>
      <c r="L81" s="6">
        <f>IF(F81&lt;&gt;"",LOWER(TRIM(F81)),D81)</f>
        <v/>
      </c>
      <c r="M81" s="6">
        <f>IF(L81="","",IF(COUNTIF($L$2:L81,L81)=1,1,0))</f>
        <v/>
      </c>
    </row>
    <row r="82">
      <c r="A82" s="2" t="n">
        <v>46093.41666666666</v>
      </c>
      <c r="B82" s="3" t="inlineStr">
        <is>
          <t>Dubai Retail Sales</t>
        </is>
      </c>
      <c r="C82" s="3" t="inlineStr">
        <is>
          <t>Noah</t>
        </is>
      </c>
      <c r="D82" s="3" t="inlineStr">
        <is>
          <t>wamid-0081</t>
        </is>
      </c>
      <c r="E82" s="3" t="inlineStr">
        <is>
          <t>Sale: customer=unknown, product=Galaxy S24, amount=45999, phone=9362897676</t>
        </is>
      </c>
      <c r="F82" s="3" t="inlineStr"/>
      <c r="G82" s="3" t="inlineStr"/>
      <c r="H82" s="4" t="n">
        <v>0</v>
      </c>
      <c r="I82" s="3" t="inlineStr"/>
      <c r="J82" s="3" t="inlineStr">
        <is>
          <t>failed</t>
        </is>
      </c>
      <c r="K82" s="5">
        <f>IF(A82="","",DATE(YEAR(A82),MONTH(A82),1))</f>
        <v/>
      </c>
      <c r="L82" s="6">
        <f>IF(F82&lt;&gt;"",LOWER(TRIM(F82)),D82)</f>
        <v/>
      </c>
      <c r="M82" s="6">
        <f>IF(L82="","",IF(COUNTIF($L$2:L82,L82)=1,1,0))</f>
        <v/>
      </c>
    </row>
    <row r="83">
      <c r="A83" s="2" t="n">
        <v>46095.41666666666</v>
      </c>
      <c r="B83" s="3" t="inlineStr">
        <is>
          <t>Dubai Retail Sales</t>
        </is>
      </c>
      <c r="C83" s="3" t="inlineStr">
        <is>
          <t>Rahul</t>
        </is>
      </c>
      <c r="D83" s="3" t="inlineStr">
        <is>
          <t>wamid-0082</t>
        </is>
      </c>
      <c r="E83" s="3" t="inlineStr">
        <is>
          <t>Sale: customer=Leah Thomas, product=iPad Air, amount=31799, phone=9718121922</t>
        </is>
      </c>
      <c r="F83" s="3" t="inlineStr">
        <is>
          <t>Leah Thomas</t>
        </is>
      </c>
      <c r="G83" s="3" t="inlineStr">
        <is>
          <t>iPad Air</t>
        </is>
      </c>
      <c r="H83" s="4" t="n">
        <v>31799</v>
      </c>
      <c r="I83" s="3" t="inlineStr">
        <is>
          <t>9718121922</t>
        </is>
      </c>
      <c r="J83" s="3" t="inlineStr">
        <is>
          <t>parsed</t>
        </is>
      </c>
      <c r="K83" s="5">
        <f>IF(A83="","",DATE(YEAR(A83),MONTH(A83),1))</f>
        <v/>
      </c>
      <c r="L83" s="6">
        <f>IF(F83&lt;&gt;"",LOWER(TRIM(F83)),D83)</f>
        <v/>
      </c>
      <c r="M83" s="6">
        <f>IF(L83="","",IF(COUNTIF($L$2:L83,L83)=1,1,0))</f>
        <v/>
      </c>
    </row>
    <row r="84">
      <c r="A84" s="2" t="n">
        <v>46096.41666666666</v>
      </c>
      <c r="B84" s="3" t="inlineStr">
        <is>
          <t>Dubai Retail Sales</t>
        </is>
      </c>
      <c r="C84" s="3" t="inlineStr">
        <is>
          <t>Omar</t>
        </is>
      </c>
      <c r="D84" s="3" t="inlineStr">
        <is>
          <t>wamid-0083</t>
        </is>
      </c>
      <c r="E84" s="3" t="inlineStr">
        <is>
          <t>Sale: customer=Ali Khan, product=MacBook Air, amount=83799, phone=9804436922</t>
        </is>
      </c>
      <c r="F84" s="3" t="inlineStr">
        <is>
          <t>Ali Khan</t>
        </is>
      </c>
      <c r="G84" s="3" t="inlineStr">
        <is>
          <t>MacBook Air</t>
        </is>
      </c>
      <c r="H84" s="4" t="n">
        <v>83799</v>
      </c>
      <c r="I84" s="3" t="inlineStr">
        <is>
          <t>9804436922</t>
        </is>
      </c>
      <c r="J84" s="3" t="inlineStr">
        <is>
          <t>parsed</t>
        </is>
      </c>
      <c r="K84" s="5">
        <f>IF(A84="","",DATE(YEAR(A84),MONTH(A84),1))</f>
        <v/>
      </c>
      <c r="L84" s="6">
        <f>IF(F84&lt;&gt;"",LOWER(TRIM(F84)),D84)</f>
        <v/>
      </c>
      <c r="M84" s="6">
        <f>IF(L84="","",IF(COUNTIF($L$2:L84,L84)=1,1,0))</f>
        <v/>
      </c>
    </row>
    <row r="85">
      <c r="A85" s="2" t="n">
        <v>46099.41666666666</v>
      </c>
      <c r="B85" s="3" t="inlineStr">
        <is>
          <t>Dubai Retail Sales</t>
        </is>
      </c>
      <c r="C85" s="3" t="inlineStr">
        <is>
          <t>Noah</t>
        </is>
      </c>
      <c r="D85" s="3" t="inlineStr">
        <is>
          <t>wamid-0084</t>
        </is>
      </c>
      <c r="E85" s="3" t="inlineStr">
        <is>
          <t>Sale: customer=Arjun Mehta, product=iPhone 15, amount=48799, phone=9656152900</t>
        </is>
      </c>
      <c r="F85" s="3" t="inlineStr">
        <is>
          <t>Arjun Mehta</t>
        </is>
      </c>
      <c r="G85" s="3" t="inlineStr">
        <is>
          <t>iPhone 15</t>
        </is>
      </c>
      <c r="H85" s="4" t="n">
        <v>48799</v>
      </c>
      <c r="I85" s="3" t="inlineStr">
        <is>
          <t>9656152900</t>
        </is>
      </c>
      <c r="J85" s="3" t="inlineStr">
        <is>
          <t>parsed</t>
        </is>
      </c>
      <c r="K85" s="5">
        <f>IF(A85="","",DATE(YEAR(A85),MONTH(A85),1))</f>
        <v/>
      </c>
      <c r="L85" s="6">
        <f>IF(F85&lt;&gt;"",LOWER(TRIM(F85)),D85)</f>
        <v/>
      </c>
      <c r="M85" s="6">
        <f>IF(L85="","",IF(COUNTIF($L$2:L85,L85)=1,1,0))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8" customWidth="1" min="6" max="6"/>
    <col width="16" customWidth="1" min="7" max="7"/>
    <col width="12" customWidth="1" min="8" max="8"/>
    <col width="12" customWidth="1" min="10" max="10"/>
    <col width="12" customWidth="1" min="11" max="11"/>
  </cols>
  <sheetData>
    <row r="1" ht="24" customHeight="1">
      <c r="A1" s="7" t="inlineStr">
        <is>
          <t>Sales Summary Logic</t>
        </is>
      </c>
    </row>
    <row r="3">
      <c r="A3" s="8" t="inlineStr">
        <is>
          <t>Metric</t>
        </is>
      </c>
      <c r="B3" s="9" t="inlineStr">
        <is>
          <t>Value</t>
        </is>
      </c>
      <c r="F3" s="10" t="inlineStr">
        <is>
          <t>Product</t>
        </is>
      </c>
      <c r="G3" s="10" t="inlineStr">
        <is>
          <t>Revenue</t>
        </is>
      </c>
      <c r="H3" s="10" t="inlineStr">
        <is>
          <t>Orders</t>
        </is>
      </c>
      <c r="J3" s="10" t="inlineStr">
        <is>
          <t>Status</t>
        </is>
      </c>
      <c r="K3" s="10" t="inlineStr">
        <is>
          <t>Count</t>
        </is>
      </c>
    </row>
    <row r="4">
      <c r="A4" s="11" t="inlineStr">
        <is>
          <t>Total Revenue</t>
        </is>
      </c>
      <c r="B4" s="12">
        <f>SUMIFS(RawData!$H$2:$H$5000,RawData!$J$2:$J$5000,"parsed")</f>
        <v/>
      </c>
      <c r="F4" t="inlineStr">
        <is>
          <t>MacBook Air</t>
        </is>
      </c>
      <c r="G4" s="13">
        <f>SUMIFS(RawData!$H$2:$H$5000,RawData!$J$2:$J$5000,"parsed",RawData!$G$2:$G$5000,F4)</f>
        <v/>
      </c>
      <c r="H4">
        <f>COUNTIFS(RawData!$J$2:$J$5000,"parsed",RawData!$G$2:$G$5000,F4)</f>
        <v/>
      </c>
      <c r="J4" t="inlineStr">
        <is>
          <t>parsed</t>
        </is>
      </c>
      <c r="K4">
        <f>COUNTIF(RawData!$J$2:$J$5000,"parsed")</f>
        <v/>
      </c>
    </row>
    <row r="5">
      <c r="A5" s="11" t="inlineStr">
        <is>
          <t>Parsed Orders</t>
        </is>
      </c>
      <c r="B5" s="14">
        <f>COUNTIF(RawData!$J$2:$J$5000,"parsed")</f>
        <v/>
      </c>
      <c r="F5" t="inlineStr">
        <is>
          <t>iPhone 15</t>
        </is>
      </c>
      <c r="G5" s="13">
        <f>SUMIFS(RawData!$H$2:$H$5000,RawData!$J$2:$J$5000,"parsed",RawData!$G$2:$G$5000,F5)</f>
        <v/>
      </c>
      <c r="H5">
        <f>COUNTIFS(RawData!$J$2:$J$5000,"parsed",RawData!$G$2:$G$5000,F5)</f>
        <v/>
      </c>
      <c r="J5" t="inlineStr">
        <is>
          <t>failed</t>
        </is>
      </c>
      <c r="K5">
        <f>COUNTIF(RawData!$J$2:$J$5000,"failed")</f>
        <v/>
      </c>
    </row>
    <row r="6">
      <c r="A6" s="11" t="inlineStr">
        <is>
          <t>Average Order Value</t>
        </is>
      </c>
      <c r="B6" s="12">
        <f>IFERROR(B4/B5,0)</f>
        <v/>
      </c>
      <c r="F6" t="inlineStr">
        <is>
          <t>Galaxy S24</t>
        </is>
      </c>
      <c r="G6" s="13">
        <f>SUMIFS(RawData!$H$2:$H$5000,RawData!$J$2:$J$5000,"parsed",RawData!$G$2:$G$5000,F6)</f>
        <v/>
      </c>
      <c r="H6">
        <f>COUNTIFS(RawData!$J$2:$J$5000,"parsed",RawData!$G$2:$G$5000,F6)</f>
        <v/>
      </c>
    </row>
    <row r="7">
      <c r="A7" s="11" t="inlineStr">
        <is>
          <t>Unique Customers</t>
        </is>
      </c>
      <c r="B7" s="14">
        <f>SUM(RawData!$M$2:$M$5000)</f>
        <v/>
      </c>
      <c r="F7" t="inlineStr">
        <is>
          <t>iPad Air</t>
        </is>
      </c>
      <c r="G7" s="13">
        <f>SUMIFS(RawData!$H$2:$H$5000,RawData!$J$2:$J$5000,"parsed",RawData!$G$2:$G$5000,F7)</f>
        <v/>
      </c>
      <c r="H7">
        <f>COUNTIFS(RawData!$J$2:$J$5000,"parsed",RawData!$G$2:$G$5000,F7)</f>
        <v/>
      </c>
    </row>
    <row r="8">
      <c r="A8" s="11" t="inlineStr">
        <is>
          <t>Failed Parses</t>
        </is>
      </c>
      <c r="B8" s="14">
        <f>COUNTIF(RawData!$J$2:$J$5000,"failed")</f>
        <v/>
      </c>
      <c r="F8" t="inlineStr">
        <is>
          <t>Apple Watch</t>
        </is>
      </c>
      <c r="G8" s="13">
        <f>SUMIFS(RawData!$H$2:$H$5000,RawData!$J$2:$J$5000,"parsed",RawData!$G$2:$G$5000,F8)</f>
        <v/>
      </c>
      <c r="H8">
        <f>COUNTIFS(RawData!$J$2:$J$5000,"parsed",RawData!$G$2:$G$5000,F8)</f>
        <v/>
      </c>
    </row>
    <row r="9">
      <c r="A9" s="11" t="inlineStr">
        <is>
          <t>Top Product</t>
        </is>
      </c>
      <c r="B9" s="14">
        <f>INDEX(F4:F9,MATCH(MAX(G4:G9),G4:G9,0))</f>
        <v/>
      </c>
      <c r="F9" t="inlineStr">
        <is>
          <t>AirPods Pro</t>
        </is>
      </c>
      <c r="G9" s="13">
        <f>SUMIFS(RawData!$H$2:$H$5000,RawData!$J$2:$J$5000,"parsed",RawData!$G$2:$G$5000,F9)</f>
        <v/>
      </c>
      <c r="H9">
        <f>COUNTIFS(RawData!$J$2:$J$5000,"parsed",RawData!$G$2:$G$5000,F9)</f>
        <v/>
      </c>
    </row>
    <row r="12">
      <c r="A12" s="10" t="inlineStr">
        <is>
          <t>Month</t>
        </is>
      </c>
      <c r="B12" s="10" t="inlineStr">
        <is>
          <t>Revenue</t>
        </is>
      </c>
      <c r="C12" s="10" t="inlineStr">
        <is>
          <t>Orders</t>
        </is>
      </c>
    </row>
    <row r="13">
      <c r="A13" s="15">
        <f>DATE(YEAR(TODAY()),MONTH(TODAY())-5,1)</f>
        <v/>
      </c>
      <c r="B13" s="13">
        <f>SUMIFS(RawData!$H$2:$H$5000,RawData!$J$2:$J$5000,"parsed",RawData!$K$2:$K$5000,$A13)</f>
        <v/>
      </c>
      <c r="C13">
        <f>COUNTIFS(RawData!$J$2:$J$5000,"parsed",RawData!$K$2:$K$5000,$A13)</f>
        <v/>
      </c>
    </row>
    <row r="14">
      <c r="A14" s="15">
        <f>DATE(YEAR(A13),MONTH(A13)+1,1)</f>
        <v/>
      </c>
      <c r="B14" s="13">
        <f>SUMIFS(RawData!$H$2:$H$5000,RawData!$J$2:$J$5000,"parsed",RawData!$K$2:$K$5000,$A14)</f>
        <v/>
      </c>
      <c r="C14">
        <f>COUNTIFS(RawData!$J$2:$J$5000,"parsed",RawData!$K$2:$K$5000,$A14)</f>
        <v/>
      </c>
    </row>
    <row r="15">
      <c r="A15" s="15">
        <f>DATE(YEAR(A14),MONTH(A14)+1,1)</f>
        <v/>
      </c>
      <c r="B15" s="13">
        <f>SUMIFS(RawData!$H$2:$H$5000,RawData!$J$2:$J$5000,"parsed",RawData!$K$2:$K$5000,$A15)</f>
        <v/>
      </c>
      <c r="C15">
        <f>COUNTIFS(RawData!$J$2:$J$5000,"parsed",RawData!$K$2:$K$5000,$A15)</f>
        <v/>
      </c>
    </row>
    <row r="16">
      <c r="A16" s="15">
        <f>DATE(YEAR(A15),MONTH(A15)+1,1)</f>
        <v/>
      </c>
      <c r="B16" s="13">
        <f>SUMIFS(RawData!$H$2:$H$5000,RawData!$J$2:$J$5000,"parsed",RawData!$K$2:$K$5000,$A16)</f>
        <v/>
      </c>
      <c r="C16">
        <f>COUNTIFS(RawData!$J$2:$J$5000,"parsed",RawData!$K$2:$K$5000,$A16)</f>
        <v/>
      </c>
    </row>
    <row r="17">
      <c r="A17" s="15">
        <f>DATE(YEAR(A16),MONTH(A16)+1,1)</f>
        <v/>
      </c>
      <c r="B17" s="13">
        <f>SUMIFS(RawData!$H$2:$H$5000,RawData!$J$2:$J$5000,"parsed",RawData!$K$2:$K$5000,$A17)</f>
        <v/>
      </c>
      <c r="C17">
        <f>COUNTIFS(RawData!$J$2:$J$5000,"parsed",RawData!$K$2:$K$5000,$A17)</f>
        <v/>
      </c>
    </row>
    <row r="18">
      <c r="A18" s="15">
        <f>DATE(YEAR(A17),MONTH(A17)+1,1)</f>
        <v/>
      </c>
      <c r="B18" s="13">
        <f>SUMIFS(RawData!$H$2:$H$5000,RawData!$J$2:$J$5000,"parsed",RawData!$K$2:$K$5000,$A18)</f>
        <v/>
      </c>
      <c r="C18">
        <f>COUNTIFS(RawData!$J$2:$J$5000,"parsed",RawData!$K$2:$K$5000,$A18)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7" t="inlineStr">
        <is>
          <t>WhatsApp Sales Dashboard</t>
        </is>
      </c>
    </row>
    <row r="2" ht="34" customHeight="1">
      <c r="A2" s="16" t="inlineStr">
        <is>
          <t>Built for the WhatsApp-to-Google-Sheets sales flow in this repo. Replace sample rows on RawData to refresh the view.</t>
        </is>
      </c>
    </row>
    <row r="4" ht="22" customHeight="1">
      <c r="A4" s="17" t="inlineStr">
        <is>
          <t>Total Revenue</t>
        </is>
      </c>
      <c r="B4" s="18" t="n"/>
      <c r="C4" s="18" t="n"/>
      <c r="D4" s="17" t="inlineStr">
        <is>
          <t>Parsed Orders</t>
        </is>
      </c>
      <c r="E4" s="18" t="n"/>
      <c r="F4" s="18" t="n"/>
      <c r="G4" s="17" t="inlineStr">
        <is>
          <t>Average Order Value</t>
        </is>
      </c>
      <c r="H4" s="18" t="n"/>
      <c r="I4" s="18" t="n"/>
      <c r="J4" s="17" t="inlineStr">
        <is>
          <t>Unique Customers</t>
        </is>
      </c>
      <c r="K4" s="18" t="n"/>
      <c r="L4" s="18" t="n"/>
    </row>
    <row r="5" ht="34" customHeight="1">
      <c r="A5" s="19">
        <f>Summary!B4</f>
        <v/>
      </c>
      <c r="B5" s="20" t="n"/>
      <c r="C5" s="20" t="n"/>
      <c r="D5" s="21">
        <f>Summary!B5</f>
        <v/>
      </c>
      <c r="E5" s="20" t="n"/>
      <c r="F5" s="20" t="n"/>
      <c r="G5" s="19">
        <f>Summary!B6</f>
        <v/>
      </c>
      <c r="H5" s="20" t="n"/>
      <c r="I5" s="20" t="n"/>
      <c r="J5" s="21">
        <f>Summary!B7</f>
        <v/>
      </c>
      <c r="K5" s="20" t="n"/>
      <c r="L5" s="20" t="n"/>
    </row>
    <row r="8" ht="22" customHeight="1">
      <c r="A8" s="17" t="inlineStr">
        <is>
          <t>Failed Parses</t>
        </is>
      </c>
      <c r="B8" s="18" t="n"/>
      <c r="C8" s="18" t="n"/>
      <c r="D8" s="17" t="inlineStr">
        <is>
          <t>Top Product</t>
        </is>
      </c>
      <c r="E8" s="18" t="n"/>
      <c r="F8" s="18" t="n"/>
      <c r="G8" s="22" t="inlineStr">
        <is>
          <t>Sources:
https://web.whatsapp.com/
https://developers.google.com/sheets/api
Schema aligned to the local project README.</t>
        </is>
      </c>
      <c r="H8" s="23" t="n"/>
      <c r="I8" s="23" t="n"/>
      <c r="J8" s="23" t="n"/>
      <c r="K8" s="23" t="n"/>
      <c r="L8" s="23" t="n"/>
    </row>
    <row r="9" ht="34" customHeight="1">
      <c r="A9" s="21">
        <f>Summary!B8</f>
        <v/>
      </c>
      <c r="B9" s="20" t="n"/>
      <c r="C9" s="20" t="n"/>
      <c r="D9" s="21">
        <f>Summary!B9</f>
        <v/>
      </c>
      <c r="E9" s="20" t="n"/>
      <c r="F9" s="20" t="n"/>
      <c r="G9" s="23" t="n"/>
      <c r="H9" s="23" t="n"/>
      <c r="I9" s="23" t="n"/>
      <c r="J9" s="23" t="n"/>
      <c r="K9" s="23" t="n"/>
      <c r="L9" s="23" t="n"/>
    </row>
    <row r="10">
      <c r="G10" s="23" t="n"/>
      <c r="H10" s="23" t="n"/>
      <c r="I10" s="23" t="n"/>
      <c r="J10" s="23" t="n"/>
      <c r="K10" s="23" t="n"/>
      <c r="L10" s="23" t="n"/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</sheetData>
  <mergeCells count="15">
    <mergeCell ref="J5:L5"/>
    <mergeCell ref="A2:L2"/>
    <mergeCell ref="G8:L10"/>
    <mergeCell ref="D5:F5"/>
    <mergeCell ref="A5:C5"/>
    <mergeCell ref="G5:I5"/>
    <mergeCell ref="D8:F8"/>
    <mergeCell ref="A8:C8"/>
    <mergeCell ref="A1:L1"/>
    <mergeCell ref="D4:F4"/>
    <mergeCell ref="A9:C9"/>
    <mergeCell ref="G4:I4"/>
    <mergeCell ref="D9:F9"/>
    <mergeCell ref="J4:L4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7" t="inlineStr">
        <is>
          <t>How To Use This Dashboard</t>
        </is>
      </c>
    </row>
    <row r="3">
      <c r="A3" s="24" t="inlineStr">
        <is>
          <t>1. Replace the example rows on RawData with exports from your Google Sheet.</t>
        </is>
      </c>
    </row>
    <row r="4">
      <c r="A4" s="24" t="inlineStr">
        <is>
          <t>2. Keep the column order from A:J unchanged so the formulas continue to work.</t>
        </is>
      </c>
    </row>
    <row r="5">
      <c r="A5" s="24" t="inlineStr">
        <is>
          <t>3. Columns K:M are helper formulas; leave them in place and copy them downward for new rows if Excel does not autofill them.</t>
        </is>
      </c>
    </row>
    <row r="6">
      <c r="A6" s="24" t="inlineStr">
        <is>
          <t>4. If you introduce new product names, update Summary!F4:F9 so the product chart reflects your catalog.</t>
        </is>
      </c>
    </row>
    <row r="7">
      <c r="A7" s="24" t="inlineStr">
        <is>
          <t>5. Open the workbook in Excel or Google Sheets to refresh formulas and chart values.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2026-03-18T12:13:25Z</dcterms:created>
  <dcterms:modified xsi:type="dcterms:W3CDTF">2026-03-18T12:13:25Z</dcterms:modified>
</cp:coreProperties>
</file>